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ni Thakur\OneDrive\Desktop\Excel\"/>
    </mc:Choice>
  </mc:AlternateContent>
  <xr:revisionPtr revIDLastSave="0" documentId="13_ncr:1_{7DDFCDCC-5B2F-48F1-B88C-87190A4F0CEC}" xr6:coauthVersionLast="47" xr6:coauthVersionMax="47" xr10:uidLastSave="{00000000-0000-0000-0000-000000000000}"/>
  <bookViews>
    <workbookView xWindow="-110" yWindow="-110" windowWidth="19420" windowHeight="10420" activeTab="6" xr2:uid="{1C957551-846A-4990-8507-145E201AB509}"/>
  </bookViews>
  <sheets>
    <sheet name="Sheet1" sheetId="1" r:id="rId1"/>
    <sheet name="Relative " sheetId="2" r:id="rId2"/>
    <sheet name="Absolute " sheetId="3" r:id="rId3"/>
    <sheet name="Mixed" sheetId="4" r:id="rId4"/>
    <sheet name="Charts" sheetId="5" r:id="rId5"/>
    <sheet name="Formulas" sheetId="7" r:id="rId6"/>
    <sheet name="Index +Match" sheetId="8" r:id="rId7"/>
  </sheets>
  <definedNames>
    <definedName name="_xlnm._FilterDatabase" localSheetId="5" hidden="1">Formulas!$A$1:$D$21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8" l="1"/>
  <c r="M3" i="8"/>
  <c r="N3" i="8"/>
  <c r="K3" i="8"/>
  <c r="T18" i="7"/>
  <c r="T21" i="7"/>
  <c r="T20" i="7"/>
  <c r="T17" i="7"/>
  <c r="T14" i="7"/>
  <c r="T11" i="7"/>
  <c r="T10" i="7"/>
  <c r="T9" i="7"/>
  <c r="T6" i="7"/>
  <c r="T4" i="7"/>
  <c r="T3" i="7"/>
  <c r="T12" i="7" l="1"/>
  <c r="T13" i="7"/>
  <c r="T5" i="7"/>
  <c r="T16" i="7"/>
  <c r="T15" i="7"/>
  <c r="T2" i="7"/>
  <c r="T8" i="7"/>
</calcChain>
</file>

<file path=xl/sharedStrings.xml><?xml version="1.0" encoding="utf-8"?>
<sst xmlns="http://schemas.openxmlformats.org/spreadsheetml/2006/main" count="195" uniqueCount="129">
  <si>
    <t>Creating and Formatting Charts (bar, line, pie)</t>
  </si>
  <si>
    <t>Relative, Absolute, and Mixed References</t>
  </si>
  <si>
    <t>COUNTIF,SUMIF, AVERAGEIF + NESTEDIF</t>
  </si>
  <si>
    <t>Product</t>
  </si>
  <si>
    <t>Quantity</t>
  </si>
  <si>
    <t>Price per Unit</t>
  </si>
  <si>
    <t>Total Price (Rel Ref)</t>
  </si>
  <si>
    <t>Pen</t>
  </si>
  <si>
    <t>Pencil</t>
  </si>
  <si>
    <t>Notebook</t>
  </si>
  <si>
    <t>Eraser</t>
  </si>
  <si>
    <t>🔗 Relative, Absolute, and Mixed References</t>
  </si>
  <si>
    <r>
      <t>Relative Reference (A1)</t>
    </r>
    <r>
      <rPr>
        <sz val="11"/>
        <color theme="1"/>
        <rFont val="Calibri"/>
        <family val="2"/>
        <scheme val="minor"/>
      </rPr>
      <t xml:space="preserve"> → Changes when copied.</t>
    </r>
  </si>
  <si>
    <r>
      <t>Example:</t>
    </r>
    <r>
      <rPr>
        <sz val="11"/>
        <color theme="1"/>
        <rFont val="Calibri"/>
        <family val="2"/>
        <scheme val="minor"/>
      </rPr>
      <t xml:space="preserve"> Formula </t>
    </r>
    <r>
      <rPr>
        <sz val="10"/>
        <color theme="1"/>
        <rFont val="Arial Unicode MS"/>
      </rPr>
      <t>=B2+C2</t>
    </r>
    <r>
      <rPr>
        <sz val="11"/>
        <color theme="1"/>
        <rFont val="Calibri"/>
        <family val="2"/>
        <scheme val="minor"/>
      </rPr>
      <t xml:space="preserve"> copied from row 2 to row 3 becomes </t>
    </r>
    <r>
      <rPr>
        <sz val="10"/>
        <color theme="1"/>
        <rFont val="Arial Unicode MS"/>
      </rPr>
      <t>=B3+C3</t>
    </r>
    <r>
      <rPr>
        <sz val="11"/>
        <color theme="1"/>
        <rFont val="Calibri"/>
        <family val="2"/>
        <scheme val="minor"/>
      </rPr>
      <t>.</t>
    </r>
  </si>
  <si>
    <r>
      <t>Absolute Reference ($A$1)</t>
    </r>
    <r>
      <rPr>
        <sz val="11"/>
        <color theme="1"/>
        <rFont val="Calibri"/>
        <family val="2"/>
        <scheme val="minor"/>
      </rPr>
      <t xml:space="preserve"> → Stays fixed when copied.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</si>
  <si>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=B2*$A$1</t>
    </r>
    <r>
      <rPr>
        <sz val="11"/>
        <color theme="1"/>
        <rFont val="Calibri"/>
        <family val="2"/>
        <scheme val="minor"/>
      </rPr>
      <t xml:space="preserve"> → $A$1 never changes.</t>
    </r>
  </si>
  <si>
    <r>
      <t>Mixed Reference ($A1 or A$1)</t>
    </r>
    <r>
      <rPr>
        <sz val="11"/>
        <color theme="1"/>
        <rFont val="Calibri"/>
        <family val="2"/>
        <scheme val="minor"/>
      </rPr>
      <t xml:space="preserve"> → Partly fixed.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</si>
  <si>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$A1</t>
    </r>
    <r>
      <rPr>
        <sz val="11"/>
        <color theme="1"/>
        <rFont val="Calibri"/>
        <family val="2"/>
        <scheme val="minor"/>
      </rPr>
      <t xml:space="preserve"> → column fixed, row changes; </t>
    </r>
    <r>
      <rPr>
        <sz val="10"/>
        <color theme="1"/>
        <rFont val="Arial Unicode MS"/>
      </rPr>
      <t>A$1</t>
    </r>
    <r>
      <rPr>
        <sz val="11"/>
        <color theme="1"/>
        <rFont val="Calibri"/>
        <family val="2"/>
        <scheme val="minor"/>
      </rPr>
      <t xml:space="preserve"> → row fixed, column changes.</t>
    </r>
  </si>
  <si>
    <t xml:space="preserve">Student Name </t>
  </si>
  <si>
    <t>Marks</t>
  </si>
  <si>
    <t xml:space="preserve">Total </t>
  </si>
  <si>
    <t>%</t>
  </si>
  <si>
    <t>A</t>
  </si>
  <si>
    <t>B</t>
  </si>
  <si>
    <t>C</t>
  </si>
  <si>
    <t>D</t>
  </si>
  <si>
    <t>E</t>
  </si>
  <si>
    <t>F</t>
  </si>
  <si>
    <t>G</t>
  </si>
  <si>
    <t>H</t>
  </si>
  <si>
    <t xml:space="preserve">Multiplication Table </t>
  </si>
  <si>
    <t>Column Header</t>
  </si>
  <si>
    <t>Row Header</t>
  </si>
  <si>
    <t>📊 Creating and Formatting Charts (Bar, Line, Pie)</t>
  </si>
  <si>
    <r>
      <t>Bar Chart</t>
    </r>
    <r>
      <rPr>
        <sz val="11"/>
        <color theme="1"/>
        <rFont val="Calibri"/>
        <family val="2"/>
        <scheme val="minor"/>
      </rPr>
      <t xml:space="preserve"> → Used to compare values across categories.</t>
    </r>
  </si>
  <si>
    <r>
      <t>Example:</t>
    </r>
    <r>
      <rPr>
        <sz val="11"/>
        <color theme="1"/>
        <rFont val="Calibri"/>
        <family val="2"/>
        <scheme val="minor"/>
      </rPr>
      <t xml:space="preserve"> Sales by region.</t>
    </r>
  </si>
  <si>
    <r>
      <t>Line Chart</t>
    </r>
    <r>
      <rPr>
        <sz val="11"/>
        <color theme="1"/>
        <rFont val="Calibri"/>
        <family val="2"/>
        <scheme val="minor"/>
      </rPr>
      <t xml:space="preserve"> → Used to show trends over time.</t>
    </r>
  </si>
  <si>
    <r>
      <t>Example:</t>
    </r>
    <r>
      <rPr>
        <sz val="11"/>
        <color theme="1"/>
        <rFont val="Calibri"/>
        <family val="2"/>
        <scheme val="minor"/>
      </rPr>
      <t xml:space="preserve"> Monthly revenue growth.</t>
    </r>
  </si>
  <si>
    <r>
      <t>Pie Chart</t>
    </r>
    <r>
      <rPr>
        <sz val="11"/>
        <color theme="1"/>
        <rFont val="Calibri"/>
        <family val="2"/>
        <scheme val="minor"/>
      </rPr>
      <t xml:space="preserve"> → Used to show proportions of a whole.</t>
    </r>
  </si>
  <si>
    <r>
      <t>Example:</t>
    </r>
    <r>
      <rPr>
        <sz val="11"/>
        <color theme="1"/>
        <rFont val="Calibri"/>
        <family val="2"/>
        <scheme val="minor"/>
      </rPr>
      <t xml:space="preserve"> Market share % of products.</t>
    </r>
  </si>
  <si>
    <r>
      <t>Formatting Tips</t>
    </r>
    <r>
      <rPr>
        <sz val="11"/>
        <color theme="1"/>
        <rFont val="Calibri"/>
        <family val="2"/>
        <scheme val="minor"/>
      </rPr>
      <t xml:space="preserve"> → Add titles, labels, data labels, change colors, and use legends for clarity.</t>
    </r>
  </si>
  <si>
    <t>Month</t>
  </si>
  <si>
    <t>Product_A</t>
  </si>
  <si>
    <t>Product_B</t>
  </si>
  <si>
    <t>Product_C</t>
  </si>
  <si>
    <t>Product_D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</si>
  <si>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</si>
  <si>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</si>
  <si>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</si>
  <si>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</si>
  <si>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</si>
  <si>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</si>
  <si>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</si>
  <si>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</si>
  <si>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</si>
  <si>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</si>
  <si>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</si>
  <si>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</si>
  <si>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Employee</t>
  </si>
  <si>
    <t>Department</t>
  </si>
  <si>
    <t>Salary</t>
  </si>
  <si>
    <t>Joining_Year</t>
  </si>
  <si>
    <t>Amit</t>
  </si>
  <si>
    <t>HR</t>
  </si>
  <si>
    <t>Neha</t>
  </si>
  <si>
    <t>IT</t>
  </si>
  <si>
    <t>Rohit</t>
  </si>
  <si>
    <t>Sales</t>
  </si>
  <si>
    <t>Priya</t>
  </si>
  <si>
    <t>Karan</t>
  </si>
  <si>
    <t>Anita</t>
  </si>
  <si>
    <t>Vikas</t>
  </si>
  <si>
    <t>Finance</t>
  </si>
  <si>
    <t>Pooja</t>
  </si>
  <si>
    <t>Ramesh</t>
  </si>
  <si>
    <t>Meena</t>
  </si>
  <si>
    <t>Sunil</t>
  </si>
  <si>
    <t>Tina</t>
  </si>
  <si>
    <t>Raj</t>
  </si>
  <si>
    <t>Sonia</t>
  </si>
  <si>
    <t>Alok</t>
  </si>
  <si>
    <t>Nisha</t>
  </si>
  <si>
    <t>Deepak</t>
  </si>
  <si>
    <t>Geeta</t>
  </si>
  <si>
    <t>Arjun</t>
  </si>
  <si>
    <t>Seema</t>
  </si>
  <si>
    <t>Question</t>
  </si>
  <si>
    <t>Answer (Formula)</t>
  </si>
  <si>
    <t>1. Count employees in Sales department</t>
  </si>
  <si>
    <t>2. Count employees joined after 2021</t>
  </si>
  <si>
    <t>3. Count employees with salary &gt; 60000</t>
  </si>
  <si>
    <t>4. Sum salary of IT department</t>
  </si>
  <si>
    <t>5. Sum salary of employees joined in 2023</t>
  </si>
  <si>
    <t>6. Sum salary of HR department where salary &gt; 30000</t>
  </si>
  <si>
    <t>7. Average salary of Finance department</t>
  </si>
  <si>
    <t>8. Average salary of employees joined in 2022</t>
  </si>
  <si>
    <t>9. Average salary where salary &lt; 50000</t>
  </si>
  <si>
    <t>10. IF salary &gt; 60000 then 'High', else 'Normal' (Nested IF for Medium: &gt;40000)</t>
  </si>
  <si>
    <t>11. Find maximum salary in Sales department (MAXIF)</t>
  </si>
  <si>
    <t>12. Find maximum salary in IT department (MAXIF)</t>
  </si>
  <si>
    <t>13. Count employees with salary between 40000 and 60000</t>
  </si>
  <si>
    <t>14. Sum salary of employees not in HR</t>
  </si>
  <si>
    <t>15. Average salary of Sales employees joined after 2021</t>
  </si>
  <si>
    <t>16. Count employees whose name starts with 'A'</t>
  </si>
  <si>
    <t>17. Sum salary of top 3 highest paid employees</t>
  </si>
  <si>
    <t>19. Count employees with salary = 30000 or 35000</t>
  </si>
  <si>
    <t>20. Nested IF: Salary &gt; 65000 = 'Excellent', &gt;50000 = 'Good', else 'Average'</t>
  </si>
  <si>
    <t>=SUMIFS(L2:L21, T2:T21, "HR", L2:L21, "&gt;30000")</t>
  </si>
  <si>
    <t>EMP ID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</si>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</sst>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3" borderId="1" xfId="0" applyFont="1" applyFill="1" applyBorder="1"/>
    <xf numFmtId="9" fontId="0" fillId="0" borderId="1" xfId="1" applyFont="1" applyBorder="1"/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0" fillId="0" borderId="0" xfId="0" quotePrefix="1"/>
    <xf numFmtId="0" fontId="7" fillId="6" borderId="1" xfId="0" applyFont="1" applyFill="1" applyBorder="1" applyAlignment="1">
      <alignment horizontal="center" vertical="top"/>
    </xf>
    <xf numFmtId="0" fontId="0" fillId="6" borderId="1" xfId="0" applyFill="1" applyBorder="1"/>
    <xf numFmtId="0" fontId="0" fillId="7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0</xdr:row>
      <xdr:rowOff>50800</xdr:rowOff>
    </xdr:from>
    <xdr:to>
      <xdr:col>18</xdr:col>
      <xdr:colOff>298450</xdr:colOff>
      <xdr:row>17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90A22A-F4AB-2211-1A95-C5F2F8812236}"/>
            </a:ext>
          </a:extLst>
        </xdr:cNvPr>
        <xdr:cNvSpPr txBox="1"/>
      </xdr:nvSpPr>
      <xdr:spPr>
        <a:xfrm>
          <a:off x="8178800" y="50800"/>
          <a:ext cx="3270250" cy="3175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➕ COUNTIF, SUMIF, AVERAGEIF, NESTED IF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COUNTIF(range, criteria)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Counts cells meeting condition.</a:t>
          </a:r>
          <a:r>
            <a:rPr lang="en-IN"/>
            <a:t> </a:t>
          </a:r>
          <a:r>
            <a:rPr lang="en-IN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=COUNTIF(B2:B10, "&gt;70") → counts scores &gt; 70.</a:t>
          </a:r>
          <a:r>
            <a:rPr lang="en-IN"/>
            <a:t> </a:t>
          </a:r>
          <a:br>
            <a:rPr lang="en-IN"/>
          </a:br>
          <a:br>
            <a:rPr lang="en-IN"/>
          </a:b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SUMIF(range, criteria, sum_range)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Sums cells based on condition.</a:t>
          </a:r>
          <a:r>
            <a:rPr lang="en-IN"/>
            <a:t> </a:t>
          </a:r>
          <a:r>
            <a:rPr lang="en-IN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=SUMIF(A2:A10, "Electronics", B2:B10) → sum sales of Electronics.</a:t>
          </a:r>
          <a:r>
            <a:rPr lang="en-IN"/>
            <a:t> </a:t>
          </a:r>
          <a:br>
            <a:rPr lang="en-IN"/>
          </a:br>
          <a:br>
            <a:rPr lang="en-IN"/>
          </a:b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AVERAGEIF(range, criteria, avg_range)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Averages values with condition.</a:t>
          </a:r>
          <a:r>
            <a:rPr lang="en-IN"/>
            <a:t> </a:t>
          </a:r>
          <a:r>
            <a:rPr lang="en-IN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=AVERAGEIF(C2:C10, "&gt;=60", D2:D10) → average marks of students scoring ≥ 60.</a:t>
          </a:r>
          <a:r>
            <a:rPr lang="en-IN"/>
            <a:t> </a:t>
          </a:r>
          <a:br>
            <a:rPr lang="en-IN"/>
          </a:br>
          <a:br>
            <a:rPr lang="en-IN"/>
          </a:b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Nested IF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Multiple conditions inside IF.</a:t>
          </a:r>
          <a:r>
            <a:rPr lang="en-IN"/>
            <a:t> </a:t>
          </a:r>
          <a:r>
            <a:rPr lang="en-IN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=IF(A2&gt;80,"High", IF(A2&gt;50,"Medium","Low"))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 IF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C783-62CB-4829-9554-663259E35EB5}">
  <dimension ref="A1:A3"/>
  <sheetViews>
    <sheetView workbookViewId="0">
      <selection activeCell="A3" sqref="A3"/>
    </sheetView>
  </sheetViews>
  <sheetFormatPr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2C71-FD7D-4C43-8DBB-BF44C3A5BBF3}">
  <dimension ref="A1:G8"/>
  <sheetViews>
    <sheetView workbookViewId="0">
      <selection activeCell="C16" sqref="C16"/>
    </sheetView>
  </sheetViews>
  <sheetFormatPr defaultRowHeight="14.5"/>
  <cols>
    <col min="3" max="3" width="16.81640625" customWidth="1"/>
    <col min="4" max="4" width="17.08984375" bestFit="1" customWidth="1"/>
  </cols>
  <sheetData>
    <row r="1" spans="1:7" ht="17.5">
      <c r="A1" s="1" t="s">
        <v>3</v>
      </c>
      <c r="B1" s="1" t="s">
        <v>4</v>
      </c>
      <c r="C1" s="1" t="s">
        <v>5</v>
      </c>
      <c r="D1" s="1" t="s">
        <v>6</v>
      </c>
      <c r="G1" s="3" t="s">
        <v>11</v>
      </c>
    </row>
    <row r="2" spans="1:7">
      <c r="A2" s="2" t="s">
        <v>7</v>
      </c>
      <c r="B2" s="2">
        <v>10</v>
      </c>
      <c r="C2" s="2">
        <v>5</v>
      </c>
      <c r="D2" s="2"/>
      <c r="G2" s="4"/>
    </row>
    <row r="3" spans="1:7">
      <c r="A3" s="2" t="s">
        <v>8</v>
      </c>
      <c r="B3" s="2">
        <v>20</v>
      </c>
      <c r="C3" s="2">
        <v>3</v>
      </c>
      <c r="D3" s="2"/>
      <c r="G3" s="5" t="s">
        <v>12</v>
      </c>
    </row>
    <row r="4" spans="1:7">
      <c r="A4" s="2" t="s">
        <v>9</v>
      </c>
      <c r="B4" s="2">
        <v>15</v>
      </c>
      <c r="C4" s="2">
        <v>20</v>
      </c>
      <c r="D4" s="2"/>
      <c r="G4" s="6" t="s">
        <v>13</v>
      </c>
    </row>
    <row r="5" spans="1:7">
      <c r="A5" s="2" t="s">
        <v>10</v>
      </c>
      <c r="B5" s="2">
        <v>5</v>
      </c>
      <c r="C5" s="2">
        <v>2</v>
      </c>
      <c r="D5" s="2"/>
      <c r="G5" s="4"/>
    </row>
    <row r="8" spans="1:7">
      <c r="G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9382-6F8C-483C-87E2-B8107B5CCCCC}">
  <dimension ref="A1:H10"/>
  <sheetViews>
    <sheetView workbookViewId="0">
      <selection activeCell="C3" sqref="C3"/>
    </sheetView>
  </sheetViews>
  <sheetFormatPr defaultRowHeight="14.5"/>
  <sheetData>
    <row r="1" spans="1:8">
      <c r="A1" s="7" t="s">
        <v>18</v>
      </c>
      <c r="B1" s="7" t="s">
        <v>19</v>
      </c>
      <c r="C1" s="7" t="s">
        <v>20</v>
      </c>
      <c r="D1" s="7">
        <v>100</v>
      </c>
      <c r="H1" s="5" t="s">
        <v>14</v>
      </c>
    </row>
    <row r="2" spans="1:8">
      <c r="A2" s="2"/>
      <c r="B2" s="2"/>
      <c r="C2" s="8" t="s">
        <v>21</v>
      </c>
      <c r="D2" s="2"/>
      <c r="H2" s="6" t="s">
        <v>15</v>
      </c>
    </row>
    <row r="3" spans="1:8">
      <c r="A3" s="2" t="s">
        <v>22</v>
      </c>
      <c r="B3" s="2">
        <v>80</v>
      </c>
      <c r="C3" s="8"/>
      <c r="D3" s="2"/>
    </row>
    <row r="4" spans="1:8">
      <c r="A4" s="2" t="s">
        <v>23</v>
      </c>
      <c r="B4" s="2">
        <v>50</v>
      </c>
      <c r="C4" s="8"/>
      <c r="D4" s="2"/>
    </row>
    <row r="5" spans="1:8">
      <c r="A5" s="2" t="s">
        <v>24</v>
      </c>
      <c r="B5" s="2">
        <v>40</v>
      </c>
      <c r="C5" s="8"/>
      <c r="D5" s="2"/>
    </row>
    <row r="6" spans="1:8">
      <c r="A6" s="2" t="s">
        <v>25</v>
      </c>
      <c r="B6" s="2">
        <v>50</v>
      </c>
      <c r="C6" s="8"/>
      <c r="D6" s="2"/>
    </row>
    <row r="7" spans="1:8">
      <c r="A7" s="2" t="s">
        <v>26</v>
      </c>
      <c r="B7" s="2">
        <v>10</v>
      </c>
      <c r="C7" s="8"/>
      <c r="D7" s="2"/>
    </row>
    <row r="8" spans="1:8">
      <c r="A8" s="2" t="s">
        <v>27</v>
      </c>
      <c r="B8" s="2">
        <v>20</v>
      </c>
      <c r="C8" s="8"/>
      <c r="D8" s="2"/>
    </row>
    <row r="9" spans="1:8">
      <c r="A9" s="2" t="s">
        <v>28</v>
      </c>
      <c r="B9" s="2">
        <v>90</v>
      </c>
      <c r="C9" s="8"/>
      <c r="D9" s="2"/>
    </row>
    <row r="10" spans="1:8">
      <c r="A10" s="2" t="s">
        <v>29</v>
      </c>
      <c r="B10" s="2">
        <v>86</v>
      </c>
      <c r="C10" s="8"/>
      <c r="D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86CC-1DD1-4CE1-9BD2-1C9E869D0B17}">
  <dimension ref="A1:H8"/>
  <sheetViews>
    <sheetView workbookViewId="0">
      <selection activeCell="D4" sqref="D4"/>
    </sheetView>
  </sheetViews>
  <sheetFormatPr defaultRowHeight="14.5"/>
  <sheetData>
    <row r="1" spans="1:8" ht="15.5">
      <c r="A1" s="2"/>
      <c r="B1" s="9" t="s">
        <v>30</v>
      </c>
      <c r="C1" s="9"/>
      <c r="D1" s="9"/>
      <c r="E1" s="9"/>
      <c r="F1" s="9"/>
      <c r="G1" s="9"/>
      <c r="H1" s="5" t="s">
        <v>16</v>
      </c>
    </row>
    <row r="2" spans="1:8" ht="15.5">
      <c r="A2" s="2"/>
      <c r="B2" s="10" t="s">
        <v>31</v>
      </c>
      <c r="C2" s="10"/>
      <c r="D2" s="10"/>
      <c r="E2" s="10"/>
      <c r="F2" s="10"/>
      <c r="G2" s="10"/>
      <c r="H2" s="6" t="s">
        <v>17</v>
      </c>
    </row>
    <row r="3" spans="1:8">
      <c r="A3" s="11" t="s">
        <v>32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/>
    </row>
    <row r="4" spans="1:8">
      <c r="A4" s="11"/>
      <c r="B4" s="2">
        <v>10</v>
      </c>
      <c r="C4" s="2"/>
      <c r="D4" s="2"/>
      <c r="E4" s="2"/>
      <c r="F4" s="2"/>
      <c r="G4" s="2"/>
    </row>
    <row r="5" spans="1:8">
      <c r="A5" s="11"/>
      <c r="B5" s="2">
        <v>20</v>
      </c>
      <c r="C5" s="2"/>
      <c r="D5" s="2"/>
      <c r="E5" s="2"/>
      <c r="F5" s="2"/>
      <c r="G5" s="2"/>
    </row>
    <row r="6" spans="1:8">
      <c r="A6" s="11"/>
      <c r="B6" s="2">
        <v>30</v>
      </c>
      <c r="C6" s="2"/>
      <c r="D6" s="2"/>
      <c r="E6" s="2"/>
      <c r="F6" s="2"/>
      <c r="G6" s="2"/>
    </row>
    <row r="7" spans="1:8">
      <c r="A7" s="11"/>
      <c r="B7" s="2">
        <v>40</v>
      </c>
      <c r="C7" s="2"/>
      <c r="D7" s="2"/>
      <c r="E7" s="2"/>
      <c r="F7" s="2"/>
      <c r="G7" s="2"/>
    </row>
    <row r="8" spans="1:8">
      <c r="A8" s="11"/>
      <c r="B8" s="2">
        <v>50</v>
      </c>
      <c r="C8" s="2"/>
      <c r="D8" s="2"/>
      <c r="E8" s="2"/>
      <c r="F8" s="2"/>
      <c r="G8" s="2"/>
    </row>
  </sheetData>
  <mergeCells count="3">
    <mergeCell ref="B1:G1"/>
    <mergeCell ref="B2:G2"/>
    <mergeCell ref="A3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BA44-EF5D-4A74-9564-E8D7B2FEE332}">
  <dimension ref="A1:P13"/>
  <sheetViews>
    <sheetView workbookViewId="0">
      <selection activeCell="G9" sqref="G9"/>
    </sheetView>
  </sheetViews>
  <sheetFormatPr defaultRowHeight="14.5"/>
  <cols>
    <col min="2" max="2" width="9.6328125" bestFit="1" customWidth="1"/>
    <col min="3" max="4" width="9.54296875" bestFit="1" customWidth="1"/>
    <col min="5" max="5" width="9.7265625" bestFit="1" customWidth="1"/>
  </cols>
  <sheetData>
    <row r="1" spans="1:16" ht="17.5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P1" s="3" t="s">
        <v>33</v>
      </c>
    </row>
    <row r="2" spans="1:16">
      <c r="A2" t="s">
        <v>46</v>
      </c>
      <c r="B2">
        <v>1200</v>
      </c>
      <c r="C2">
        <v>1000</v>
      </c>
      <c r="D2">
        <v>800</v>
      </c>
      <c r="E2">
        <v>600</v>
      </c>
      <c r="P2" s="4"/>
    </row>
    <row r="3" spans="1:16">
      <c r="A3" t="s">
        <v>47</v>
      </c>
      <c r="B3">
        <v>1500</v>
      </c>
      <c r="C3">
        <v>1100</v>
      </c>
      <c r="D3">
        <v>950</v>
      </c>
      <c r="E3">
        <v>700</v>
      </c>
      <c r="P3" s="5" t="s">
        <v>34</v>
      </c>
    </row>
    <row r="4" spans="1:16">
      <c r="A4" t="s">
        <v>48</v>
      </c>
      <c r="B4">
        <v>1800</v>
      </c>
      <c r="C4">
        <v>1300</v>
      </c>
      <c r="D4">
        <v>1200</v>
      </c>
      <c r="E4">
        <v>850</v>
      </c>
      <c r="P4" s="6" t="s">
        <v>35</v>
      </c>
    </row>
    <row r="5" spans="1:16">
      <c r="A5" t="s">
        <v>49</v>
      </c>
      <c r="B5">
        <v>2000</v>
      </c>
      <c r="C5">
        <v>1600</v>
      </c>
      <c r="D5">
        <v>1400</v>
      </c>
      <c r="E5">
        <v>1000</v>
      </c>
      <c r="P5" s="4"/>
    </row>
    <row r="6" spans="1:16">
      <c r="A6" t="s">
        <v>50</v>
      </c>
      <c r="B6">
        <v>2200</v>
      </c>
      <c r="C6">
        <v>1700</v>
      </c>
      <c r="D6">
        <v>1500</v>
      </c>
      <c r="E6">
        <v>1100</v>
      </c>
      <c r="P6" s="5" t="s">
        <v>36</v>
      </c>
    </row>
    <row r="7" spans="1:16">
      <c r="A7" t="s">
        <v>51</v>
      </c>
      <c r="B7">
        <v>2500</v>
      </c>
      <c r="C7">
        <v>1900</v>
      </c>
      <c r="D7">
        <v>1600</v>
      </c>
      <c r="E7">
        <v>1300</v>
      </c>
      <c r="P7" s="6" t="s">
        <v>37</v>
      </c>
    </row>
    <row r="8" spans="1:16">
      <c r="A8" t="s">
        <v>52</v>
      </c>
      <c r="B8">
        <v>2700</v>
      </c>
      <c r="C8">
        <v>2100</v>
      </c>
      <c r="D8">
        <v>1700</v>
      </c>
      <c r="E8">
        <v>1500</v>
      </c>
      <c r="P8" s="4"/>
    </row>
    <row r="9" spans="1:16">
      <c r="A9" t="s">
        <v>53</v>
      </c>
      <c r="B9">
        <v>2600</v>
      </c>
      <c r="C9">
        <v>2000</v>
      </c>
      <c r="D9">
        <v>1750</v>
      </c>
      <c r="E9">
        <v>1450</v>
      </c>
      <c r="P9" s="5" t="s">
        <v>38</v>
      </c>
    </row>
    <row r="10" spans="1:16">
      <c r="A10" t="s">
        <v>54</v>
      </c>
      <c r="B10">
        <v>2800</v>
      </c>
      <c r="C10">
        <v>2200</v>
      </c>
      <c r="D10">
        <v>1800</v>
      </c>
      <c r="E10">
        <v>1600</v>
      </c>
      <c r="P10" s="6" t="s">
        <v>39</v>
      </c>
    </row>
    <row r="11" spans="1:16">
      <c r="A11" t="s">
        <v>55</v>
      </c>
      <c r="B11">
        <v>3000</v>
      </c>
      <c r="C11">
        <v>2400</v>
      </c>
      <c r="D11">
        <v>1900</v>
      </c>
      <c r="E11">
        <v>1700</v>
      </c>
      <c r="P11" s="4"/>
    </row>
    <row r="12" spans="1:16">
      <c r="A12" t="s">
        <v>56</v>
      </c>
      <c r="B12">
        <v>3200</v>
      </c>
      <c r="C12">
        <v>2600</v>
      </c>
      <c r="D12">
        <v>2000</v>
      </c>
      <c r="E12">
        <v>1800</v>
      </c>
      <c r="P12" s="5" t="s">
        <v>40</v>
      </c>
    </row>
    <row r="13" spans="1:16">
      <c r="A13" t="s">
        <v>57</v>
      </c>
      <c r="B13">
        <v>3500</v>
      </c>
      <c r="C13">
        <v>2800</v>
      </c>
      <c r="D13">
        <v>2100</v>
      </c>
      <c r="E13">
        <v>1950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48AF-7CF1-4487-BB2F-1C0CE8FE4D06}">
  <dimension ref="A1:T21"/>
  <sheetViews>
    <sheetView topLeftCell="A4" workbookViewId="0">
      <selection sqref="A1:D21"/>
    </sheetView>
  </sheetViews>
  <sheetFormatPr defaultRowHeight="14.5"/>
  <cols>
    <col min="4" max="4" width="11.26953125" bestFit="1" customWidth="1"/>
  </cols>
  <sheetData>
    <row r="1" spans="1:20" ht="17.5">
      <c r="A1" s="13" t="s">
        <v>58</v>
      </c>
      <c r="B1" s="13" t="s">
        <v>59</v>
      </c>
      <c r="C1" s="13" t="s">
        <v>60</v>
      </c>
      <c r="D1" s="13" t="s">
        <v>61</v>
      </c>
      <c r="J1" s="13" t="s">
        <v>86</v>
      </c>
      <c r="L1" s="3"/>
      <c r="T1" s="13" t="s">
        <v>87</v>
      </c>
    </row>
    <row r="2" spans="1:20">
      <c r="A2" t="s">
        <v>62</v>
      </c>
      <c r="B2" t="s">
        <v>63</v>
      </c>
      <c r="C2">
        <v>35000</v>
      </c>
      <c r="D2">
        <v>2021</v>
      </c>
      <c r="J2" t="s">
        <v>88</v>
      </c>
      <c r="L2" s="4"/>
      <c r="S2">
        <v>1</v>
      </c>
      <c r="T2" t="str">
        <f ca="1">COUNTIF(T2:T21, "Sales")</f>
        <v/>
      </c>
    </row>
    <row r="3" spans="1:20">
      <c r="A3" t="s">
        <v>64</v>
      </c>
      <c r="B3" t="s">
        <v>65</v>
      </c>
      <c r="C3">
        <v>60000</v>
      </c>
      <c r="D3">
        <v>2022</v>
      </c>
      <c r="J3" t="s">
        <v>89</v>
      </c>
      <c r="L3" s="5"/>
      <c r="S3">
        <v>2</v>
      </c>
      <c r="T3">
        <f>COUNTIF(M2:M21, "&gt;2021")</f>
        <v>0</v>
      </c>
    </row>
    <row r="4" spans="1:20">
      <c r="A4" t="s">
        <v>66</v>
      </c>
      <c r="B4" t="s">
        <v>67</v>
      </c>
      <c r="C4">
        <v>45000</v>
      </c>
      <c r="D4">
        <v>2023</v>
      </c>
      <c r="J4" t="s">
        <v>90</v>
      </c>
      <c r="L4" s="6"/>
      <c r="S4">
        <v>3</v>
      </c>
      <c r="T4">
        <f>COUNTIF(L2:L21, "&gt;60000")</f>
        <v>0</v>
      </c>
    </row>
    <row r="5" spans="1:20">
      <c r="A5" t="s">
        <v>68</v>
      </c>
      <c r="B5" t="s">
        <v>67</v>
      </c>
      <c r="C5">
        <v>55000</v>
      </c>
      <c r="D5">
        <v>2023</v>
      </c>
      <c r="J5" t="s">
        <v>91</v>
      </c>
      <c r="L5" s="4"/>
      <c r="S5">
        <v>4</v>
      </c>
      <c r="T5">
        <f ca="1">SUMIF(T2:T21, "IT", L2:L21)</f>
        <v>0</v>
      </c>
    </row>
    <row r="6" spans="1:20">
      <c r="A6" t="s">
        <v>69</v>
      </c>
      <c r="B6" t="s">
        <v>65</v>
      </c>
      <c r="C6">
        <v>70000</v>
      </c>
      <c r="D6">
        <v>2021</v>
      </c>
      <c r="J6" t="s">
        <v>92</v>
      </c>
      <c r="L6" s="5"/>
      <c r="S6">
        <v>5</v>
      </c>
      <c r="T6">
        <f>SUMIF(M2:M21, 2023, L2:L21)</f>
        <v>0</v>
      </c>
    </row>
    <row r="7" spans="1:20">
      <c r="A7" t="s">
        <v>70</v>
      </c>
      <c r="B7" t="s">
        <v>63</v>
      </c>
      <c r="C7">
        <v>30000</v>
      </c>
      <c r="D7">
        <v>2022</v>
      </c>
      <c r="J7" t="s">
        <v>93</v>
      </c>
      <c r="L7" s="6"/>
      <c r="S7">
        <v>6</v>
      </c>
      <c r="T7" s="14" t="s">
        <v>107</v>
      </c>
    </row>
    <row r="8" spans="1:20">
      <c r="A8" t="s">
        <v>71</v>
      </c>
      <c r="B8" t="s">
        <v>72</v>
      </c>
      <c r="C8">
        <v>65000</v>
      </c>
      <c r="D8">
        <v>2023</v>
      </c>
      <c r="J8" t="s">
        <v>94</v>
      </c>
      <c r="L8" s="4"/>
      <c r="S8">
        <v>7</v>
      </c>
      <c r="T8" t="e">
        <f ca="1">AVERAGEIF(T2:T21, "Finance", L2:L21)</f>
        <v>#DIV/0!</v>
      </c>
    </row>
    <row r="9" spans="1:20">
      <c r="A9" t="s">
        <v>73</v>
      </c>
      <c r="B9" t="s">
        <v>72</v>
      </c>
      <c r="C9">
        <v>40000</v>
      </c>
      <c r="D9">
        <v>2021</v>
      </c>
      <c r="J9" t="s">
        <v>95</v>
      </c>
      <c r="L9" s="5"/>
      <c r="S9">
        <v>8</v>
      </c>
      <c r="T9" t="e">
        <f>AVERAGEIF(M2:M21, 2022, L2:L21)</f>
        <v>#DIV/0!</v>
      </c>
    </row>
    <row r="10" spans="1:20">
      <c r="A10" t="s">
        <v>74</v>
      </c>
      <c r="B10" t="s">
        <v>67</v>
      </c>
      <c r="C10">
        <v>48000</v>
      </c>
      <c r="D10">
        <v>2022</v>
      </c>
      <c r="J10" t="s">
        <v>96</v>
      </c>
      <c r="L10" s="6"/>
      <c r="S10">
        <v>9</v>
      </c>
      <c r="T10" t="e">
        <f>AVERAGEIF(L2:L21, "&lt;50000", L2:L21)</f>
        <v>#DIV/0!</v>
      </c>
    </row>
    <row r="11" spans="1:20">
      <c r="A11" t="s">
        <v>75</v>
      </c>
      <c r="B11" t="s">
        <v>65</v>
      </c>
      <c r="C11">
        <v>52000</v>
      </c>
      <c r="D11">
        <v>2023</v>
      </c>
      <c r="J11" t="s">
        <v>97</v>
      </c>
      <c r="L11" s="4"/>
      <c r="S11">
        <v>10</v>
      </c>
      <c r="T11" t="str">
        <f>IF(L2&gt;60000, "High", IF(L2&gt;40000, "Medium", "Normal"))</f>
        <v>Normal</v>
      </c>
    </row>
    <row r="12" spans="1:20">
      <c r="A12" t="s">
        <v>76</v>
      </c>
      <c r="B12" t="s">
        <v>72</v>
      </c>
      <c r="C12">
        <v>72000</v>
      </c>
      <c r="D12">
        <v>2021</v>
      </c>
      <c r="J12" t="s">
        <v>98</v>
      </c>
      <c r="L12" s="5"/>
      <c r="S12">
        <v>11</v>
      </c>
      <c r="T12" t="str">
        <f ca="1">MAX(IF(T2:T21="Sales", L2:L21))</f>
        <v/>
      </c>
    </row>
    <row r="13" spans="1:20">
      <c r="A13" t="s">
        <v>77</v>
      </c>
      <c r="B13" t="s">
        <v>63</v>
      </c>
      <c r="C13">
        <v>33000</v>
      </c>
      <c r="D13">
        <v>2023</v>
      </c>
      <c r="J13" t="s">
        <v>99</v>
      </c>
      <c r="L13" s="6"/>
      <c r="S13">
        <v>12</v>
      </c>
      <c r="T13" t="str">
        <f ca="1">MAX(IF(T2:T21="IT", L2:L21))</f>
        <v/>
      </c>
    </row>
    <row r="14" spans="1:20">
      <c r="A14" t="s">
        <v>78</v>
      </c>
      <c r="B14" t="s">
        <v>65</v>
      </c>
      <c r="C14">
        <v>58000</v>
      </c>
      <c r="D14">
        <v>2022</v>
      </c>
      <c r="J14" t="s">
        <v>100</v>
      </c>
      <c r="S14">
        <v>13</v>
      </c>
      <c r="T14">
        <f>COUNTIFS(L2:L21, "&gt;=40000", L2:L21, "&lt;=60000")</f>
        <v>0</v>
      </c>
    </row>
    <row r="15" spans="1:20">
      <c r="A15" t="s">
        <v>79</v>
      </c>
      <c r="B15" t="s">
        <v>67</v>
      </c>
      <c r="C15">
        <v>47000</v>
      </c>
      <c r="D15">
        <v>2021</v>
      </c>
      <c r="J15" t="s">
        <v>101</v>
      </c>
      <c r="S15">
        <v>14</v>
      </c>
      <c r="T15">
        <f ca="1">SUMIF(T2:T21, "&lt;&gt;HR", L2:L21)</f>
        <v>0</v>
      </c>
    </row>
    <row r="16" spans="1:20">
      <c r="A16" t="s">
        <v>80</v>
      </c>
      <c r="B16" t="s">
        <v>72</v>
      </c>
      <c r="C16">
        <v>64000</v>
      </c>
      <c r="D16">
        <v>2023</v>
      </c>
      <c r="J16" t="s">
        <v>102</v>
      </c>
      <c r="S16">
        <v>15</v>
      </c>
      <c r="T16" t="str">
        <f ca="1">AVERAGEIFS(L2:L21, T2:T21, "Sales", M2:M21, "&gt;2021")</f>
        <v/>
      </c>
    </row>
    <row r="17" spans="1:20">
      <c r="A17" t="s">
        <v>81</v>
      </c>
      <c r="B17" t="s">
        <v>67</v>
      </c>
      <c r="C17">
        <v>51000</v>
      </c>
      <c r="D17">
        <v>2022</v>
      </c>
      <c r="J17" t="s">
        <v>103</v>
      </c>
      <c r="S17">
        <v>16</v>
      </c>
      <c r="T17">
        <f>COUNTIF(J2:J20, "A*")</f>
        <v>0</v>
      </c>
    </row>
    <row r="18" spans="1:20">
      <c r="A18" t="s">
        <v>82</v>
      </c>
      <c r="B18" t="s">
        <v>63</v>
      </c>
      <c r="C18">
        <v>31000</v>
      </c>
      <c r="D18">
        <v>2021</v>
      </c>
      <c r="J18" t="s">
        <v>104</v>
      </c>
      <c r="S18">
        <v>17</v>
      </c>
      <c r="T18" t="e">
        <f>SUM(LARGE(L2:L21, {1,2,3}))</f>
        <v>#NUM!</v>
      </c>
    </row>
    <row r="19" spans="1:20">
      <c r="A19" t="s">
        <v>83</v>
      </c>
      <c r="B19" t="s">
        <v>65</v>
      </c>
      <c r="C19">
        <v>69000</v>
      </c>
      <c r="D19">
        <v>2023</v>
      </c>
      <c r="J19" t="s">
        <v>105</v>
      </c>
    </row>
    <row r="20" spans="1:20">
      <c r="A20" t="s">
        <v>84</v>
      </c>
      <c r="B20" t="s">
        <v>72</v>
      </c>
      <c r="C20">
        <v>75000</v>
      </c>
      <c r="D20">
        <v>2022</v>
      </c>
      <c r="J20" t="s">
        <v>106</v>
      </c>
      <c r="S20">
        <v>19</v>
      </c>
      <c r="T20">
        <f>COUNTIF(L2:L21, 30000) + COUNTIF(L2:L21, 35000)</f>
        <v>0</v>
      </c>
    </row>
    <row r="21" spans="1:20">
      <c r="A21" t="s">
        <v>85</v>
      </c>
      <c r="B21" t="s">
        <v>67</v>
      </c>
      <c r="C21">
        <v>46000</v>
      </c>
      <c r="D21">
        <v>2021</v>
      </c>
      <c r="S21">
        <v>20</v>
      </c>
      <c r="T21" t="str">
        <f>IF(L2&gt;65000, "Excellent", IF(L2&gt;50000, "Good", "Average"))</f>
        <v>Average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95BF-8FC1-4A46-A9FF-39D85BAC8CDA}">
  <dimension ref="A1:O21"/>
  <sheetViews>
    <sheetView tabSelected="1" workbookViewId="0">
      <selection activeCell="F5" sqref="F5"/>
    </sheetView>
  </sheetViews>
  <sheetFormatPr defaultRowHeight="14.5"/>
  <cols>
    <col min="11" max="11" width="9" bestFit="1" customWidth="1"/>
    <col min="12" max="12" width="11.08984375" bestFit="1" customWidth="1"/>
    <col min="14" max="14" width="11.26953125" bestFit="1" customWidth="1"/>
  </cols>
  <sheetData>
    <row r="1" spans="1:15">
      <c r="A1" s="16" t="s">
        <v>108</v>
      </c>
      <c r="B1" s="15" t="s">
        <v>58</v>
      </c>
      <c r="C1" s="15" t="s">
        <v>59</v>
      </c>
      <c r="D1" s="15" t="s">
        <v>60</v>
      </c>
      <c r="E1" s="15" t="s">
        <v>61</v>
      </c>
    </row>
    <row r="2" spans="1:15">
      <c r="A2" s="17" t="s">
        <v>109</v>
      </c>
      <c r="B2" s="17" t="s">
        <v>62</v>
      </c>
      <c r="C2" s="17" t="s">
        <v>63</v>
      </c>
      <c r="D2" s="17">
        <v>35000</v>
      </c>
      <c r="E2" s="17">
        <v>2021</v>
      </c>
      <c r="I2" s="16"/>
      <c r="J2" t="s">
        <v>108</v>
      </c>
      <c r="K2" s="13" t="s">
        <v>58</v>
      </c>
      <c r="L2" s="13" t="s">
        <v>59</v>
      </c>
      <c r="M2" s="13" t="s">
        <v>60</v>
      </c>
      <c r="N2" s="13" t="s">
        <v>61</v>
      </c>
      <c r="O2" s="16"/>
    </row>
    <row r="3" spans="1:15">
      <c r="A3" s="17" t="s">
        <v>110</v>
      </c>
      <c r="B3" s="17" t="s">
        <v>64</v>
      </c>
      <c r="C3" s="17" t="s">
        <v>65</v>
      </c>
      <c r="D3" s="17">
        <v>60000</v>
      </c>
      <c r="E3" s="17">
        <v>2022</v>
      </c>
      <c r="J3" s="17" t="s">
        <v>110</v>
      </c>
      <c r="K3" t="str">
        <f>INDEX($A$1:$E$21,MATCH($J$3,$A:$A),MATCH(K2,$A$1:$E$1,0))</f>
        <v>Neha</v>
      </c>
      <c r="L3" t="str">
        <f>INDEX($A$1:$E$21,MATCH($J$3,$A:$A),MATCH(L2,$A$1:$E$1,0))</f>
        <v>IT</v>
      </c>
      <c r="M3">
        <f>INDEX($A$1:$E$21,MATCH($J$3,$A:$A),MATCH(M2,$A$1:$E$1,0))</f>
        <v>60000</v>
      </c>
      <c r="N3">
        <f>INDEX($A$1:$E$21,MATCH($J$3,$A:$A),MATCH(N2,$A$1:$E$1,0))</f>
        <v>2022</v>
      </c>
    </row>
    <row r="4" spans="1:15">
      <c r="A4" s="17" t="s">
        <v>111</v>
      </c>
      <c r="B4" s="17" t="s">
        <v>66</v>
      </c>
      <c r="C4" s="17" t="s">
        <v>67</v>
      </c>
      <c r="D4" s="17">
        <v>45000</v>
      </c>
      <c r="E4" s="17">
        <v>2023</v>
      </c>
    </row>
    <row r="5" spans="1:15">
      <c r="A5" s="17" t="s">
        <v>112</v>
      </c>
      <c r="B5" s="17" t="s">
        <v>68</v>
      </c>
      <c r="C5" s="17" t="s">
        <v>67</v>
      </c>
      <c r="D5" s="17">
        <v>55000</v>
      </c>
      <c r="E5" s="17">
        <v>2023</v>
      </c>
    </row>
    <row r="6" spans="1:15">
      <c r="A6" s="17" t="s">
        <v>113</v>
      </c>
      <c r="B6" s="17" t="s">
        <v>69</v>
      </c>
      <c r="C6" s="17" t="s">
        <v>65</v>
      </c>
      <c r="D6" s="17">
        <v>70000</v>
      </c>
      <c r="E6" s="17">
        <v>2021</v>
      </c>
    </row>
    <row r="7" spans="1:15">
      <c r="A7" s="17" t="s">
        <v>114</v>
      </c>
      <c r="B7" s="17" t="s">
        <v>70</v>
      </c>
      <c r="C7" s="17" t="s">
        <v>63</v>
      </c>
      <c r="D7" s="17">
        <v>30000</v>
      </c>
      <c r="E7" s="17">
        <v>2022</v>
      </c>
    </row>
    <row r="8" spans="1:15">
      <c r="A8" s="17" t="s">
        <v>115</v>
      </c>
      <c r="B8" s="17" t="s">
        <v>71</v>
      </c>
      <c r="C8" s="17" t="s">
        <v>72</v>
      </c>
      <c r="D8" s="17">
        <v>65000</v>
      </c>
      <c r="E8" s="17">
        <v>2023</v>
      </c>
    </row>
    <row r="9" spans="1:15">
      <c r="A9" s="17" t="s">
        <v>116</v>
      </c>
      <c r="B9" s="17" t="s">
        <v>73</v>
      </c>
      <c r="C9" s="17" t="s">
        <v>72</v>
      </c>
      <c r="D9" s="17">
        <v>40000</v>
      </c>
      <c r="E9" s="17">
        <v>2021</v>
      </c>
    </row>
    <row r="10" spans="1:15">
      <c r="A10" s="17" t="s">
        <v>117</v>
      </c>
      <c r="B10" s="17" t="s">
        <v>74</v>
      </c>
      <c r="C10" s="17" t="s">
        <v>67</v>
      </c>
      <c r="D10" s="17">
        <v>48000</v>
      </c>
      <c r="E10" s="17">
        <v>2022</v>
      </c>
    </row>
    <row r="11" spans="1:15">
      <c r="A11" s="17" t="s">
        <v>118</v>
      </c>
      <c r="B11" s="17" t="s">
        <v>75</v>
      </c>
      <c r="C11" s="17" t="s">
        <v>65</v>
      </c>
      <c r="D11" s="17">
        <v>52000</v>
      </c>
      <c r="E11" s="17">
        <v>2023</v>
      </c>
    </row>
    <row r="12" spans="1:15">
      <c r="A12" s="17" t="s">
        <v>119</v>
      </c>
      <c r="B12" s="17" t="s">
        <v>76</v>
      </c>
      <c r="C12" s="17" t="s">
        <v>72</v>
      </c>
      <c r="D12" s="17">
        <v>72000</v>
      </c>
      <c r="E12" s="17">
        <v>2021</v>
      </c>
    </row>
    <row r="13" spans="1:15">
      <c r="A13" s="17" t="s">
        <v>120</v>
      </c>
      <c r="B13" s="17" t="s">
        <v>77</v>
      </c>
      <c r="C13" s="17" t="s">
        <v>63</v>
      </c>
      <c r="D13" s="17">
        <v>33000</v>
      </c>
      <c r="E13" s="17">
        <v>2023</v>
      </c>
    </row>
    <row r="14" spans="1:15">
      <c r="A14" s="17" t="s">
        <v>121</v>
      </c>
      <c r="B14" s="17" t="s">
        <v>78</v>
      </c>
      <c r="C14" s="17" t="s">
        <v>65</v>
      </c>
      <c r="D14" s="17">
        <v>58000</v>
      </c>
      <c r="E14" s="17">
        <v>2022</v>
      </c>
    </row>
    <row r="15" spans="1:15">
      <c r="A15" s="17" t="s">
        <v>122</v>
      </c>
      <c r="B15" s="17" t="s">
        <v>79</v>
      </c>
      <c r="C15" s="17" t="s">
        <v>67</v>
      </c>
      <c r="D15" s="17">
        <v>47000</v>
      </c>
      <c r="E15" s="17">
        <v>2021</v>
      </c>
    </row>
    <row r="16" spans="1:15">
      <c r="A16" s="17" t="s">
        <v>123</v>
      </c>
      <c r="B16" s="17" t="s">
        <v>80</v>
      </c>
      <c r="C16" s="17" t="s">
        <v>72</v>
      </c>
      <c r="D16" s="17">
        <v>64000</v>
      </c>
      <c r="E16" s="17">
        <v>2023</v>
      </c>
    </row>
    <row r="17" spans="1:5">
      <c r="A17" s="17" t="s">
        <v>124</v>
      </c>
      <c r="B17" s="17" t="s">
        <v>81</v>
      </c>
      <c r="C17" s="17" t="s">
        <v>67</v>
      </c>
      <c r="D17" s="17">
        <v>51000</v>
      </c>
      <c r="E17" s="17">
        <v>2022</v>
      </c>
    </row>
    <row r="18" spans="1:5">
      <c r="A18" s="17" t="s">
        <v>125</v>
      </c>
      <c r="B18" s="17" t="s">
        <v>82</v>
      </c>
      <c r="C18" s="17" t="s">
        <v>63</v>
      </c>
      <c r="D18" s="17">
        <v>31000</v>
      </c>
      <c r="E18" s="17">
        <v>2021</v>
      </c>
    </row>
    <row r="19" spans="1:5">
      <c r="A19" s="17" t="s">
        <v>126</v>
      </c>
      <c r="B19" s="17" t="s">
        <v>83</v>
      </c>
      <c r="C19" s="17" t="s">
        <v>65</v>
      </c>
      <c r="D19" s="17">
        <v>69000</v>
      </c>
      <c r="E19" s="17">
        <v>2023</v>
      </c>
    </row>
    <row r="20" spans="1:5">
      <c r="A20" s="17" t="s">
        <v>127</v>
      </c>
      <c r="B20" s="17" t="s">
        <v>84</v>
      </c>
      <c r="C20" s="17" t="s">
        <v>72</v>
      </c>
      <c r="D20" s="17">
        <v>75000</v>
      </c>
      <c r="E20" s="17">
        <v>2022</v>
      </c>
    </row>
    <row r="21" spans="1:5">
      <c r="A21" s="17" t="s">
        <v>128</v>
      </c>
      <c r="B21" s="17" t="s">
        <v>85</v>
      </c>
      <c r="C21" s="17" t="s">
        <v>67</v>
      </c>
      <c r="D21" s="17">
        <v>46000</v>
      </c>
      <c r="E21" s="17">
        <v>2021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Relative </vt:lpstr>
      <vt:lpstr>Absolute </vt:lpstr>
      <vt:lpstr>Mixed</vt:lpstr>
      <vt:lpstr>Charts</vt:lpstr>
      <vt:lpstr>Formulas</vt:lpstr>
      <vt:lpstr>Index +Match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Thakur</dc:creator>
  <cp:lastModifiedBy>Roshni Thakur</cp:lastModifiedBy>
  <dcterms:created xsi:type="dcterms:W3CDTF">2025-08-29T14:03:01Z</dcterms:created>
  <dcterms:modified xsi:type="dcterms:W3CDTF">2025-08-29T18:42:56Z</dcterms:modified>
</cp:coreProperties>
</file>