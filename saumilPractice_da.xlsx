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umil Data Analytics\"/>
    </mc:Choice>
  </mc:AlternateContent>
  <xr:revisionPtr revIDLastSave="0" documentId="13_ncr:1_{B36986FF-485B-4E0E-9343-DC6BE015713A}" xr6:coauthVersionLast="47" xr6:coauthVersionMax="47" xr10:uidLastSave="{00000000-0000-0000-0000-000000000000}"/>
  <bookViews>
    <workbookView xWindow="-120" yWindow="-120" windowWidth="29040" windowHeight="15720" activeTab="1" xr2:uid="{BAB2AD77-8422-4C69-A570-7A97D0F61326}"/>
  </bookViews>
  <sheets>
    <sheet name="Practice day2" sheetId="1" r:id="rId1"/>
    <sheet name="Practce 2" sheetId="2" r:id="rId2"/>
  </sheets>
  <definedNames>
    <definedName name="XF\1048880">'Practice day2'!$XF$1</definedName>
    <definedName name="xf1048880">'Practice day2'!$A$1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98" i="2" l="1"/>
  <c r="Q99" i="2"/>
  <c r="Q100" i="2"/>
  <c r="Q101" i="2"/>
  <c r="P98" i="2"/>
  <c r="P99" i="2"/>
  <c r="P100" i="2"/>
  <c r="P101" i="2"/>
  <c r="O98" i="2"/>
  <c r="O99" i="2"/>
  <c r="O100" i="2"/>
  <c r="O101" i="2"/>
  <c r="N98" i="2"/>
  <c r="N99" i="2"/>
  <c r="N100" i="2"/>
  <c r="N101" i="2"/>
  <c r="O97" i="2"/>
  <c r="P97" i="2"/>
  <c r="Q97" i="2"/>
  <c r="N97" i="2"/>
  <c r="S87" i="2"/>
  <c r="S88" i="2"/>
  <c r="S89" i="2"/>
  <c r="S86" i="2"/>
  <c r="G101" i="2"/>
  <c r="D102" i="2"/>
  <c r="I88" i="2"/>
  <c r="M104" i="2" s="1"/>
  <c r="I89" i="2"/>
  <c r="M105" i="2" s="1"/>
  <c r="I90" i="2"/>
  <c r="M106" i="2" s="1"/>
  <c r="I91" i="2"/>
  <c r="J88" i="2"/>
  <c r="J89" i="2"/>
  <c r="H105" i="2" s="1"/>
  <c r="J90" i="2"/>
  <c r="H106" i="2" s="1"/>
  <c r="J91" i="2"/>
  <c r="J87" i="2"/>
  <c r="I87" i="2"/>
  <c r="J83" i="2"/>
  <c r="I83" i="2"/>
  <c r="I62" i="2" a="1"/>
  <c r="I62" i="2" s="1"/>
  <c r="H63" i="2"/>
  <c r="H64" i="2"/>
  <c r="H65" i="2"/>
  <c r="H66" i="2"/>
  <c r="H67" i="2"/>
  <c r="H68" i="2"/>
  <c r="H69" i="2"/>
  <c r="H70" i="2"/>
  <c r="H71" i="2"/>
  <c r="H62" i="2"/>
  <c r="A122" i="1" a="1"/>
  <c r="A122" i="1"/>
  <c r="C122" i="1"/>
  <c r="B122" i="1"/>
  <c r="D51" i="2"/>
  <c r="D50" i="2"/>
  <c r="D49" i="2"/>
  <c r="Q35" i="2"/>
  <c r="Q36" i="2"/>
  <c r="Q37" i="2"/>
  <c r="Q38" i="2"/>
  <c r="Q39" i="2"/>
  <c r="Q40" i="2"/>
  <c r="Q41" i="2"/>
  <c r="Q42" i="2"/>
  <c r="Q43" i="2"/>
  <c r="Q44" i="2"/>
  <c r="P35" i="2"/>
  <c r="P36" i="2"/>
  <c r="P37" i="2"/>
  <c r="P38" i="2"/>
  <c r="P39" i="2"/>
  <c r="P40" i="2"/>
  <c r="P41" i="2"/>
  <c r="P42" i="2"/>
  <c r="P43" i="2"/>
  <c r="P44" i="2"/>
  <c r="O35" i="2"/>
  <c r="O36" i="2"/>
  <c r="O37" i="2"/>
  <c r="O38" i="2"/>
  <c r="O39" i="2"/>
  <c r="O40" i="2"/>
  <c r="O41" i="2"/>
  <c r="O42" i="2"/>
  <c r="O43" i="2"/>
  <c r="O44" i="2"/>
  <c r="N36" i="2"/>
  <c r="N37" i="2"/>
  <c r="N38" i="2"/>
  <c r="N39" i="2"/>
  <c r="N40" i="2"/>
  <c r="N41" i="2"/>
  <c r="N42" i="2"/>
  <c r="N43" i="2"/>
  <c r="N44" i="2"/>
  <c r="M36" i="2"/>
  <c r="M37" i="2"/>
  <c r="M38" i="2"/>
  <c r="M39" i="2"/>
  <c r="M40" i="2"/>
  <c r="M41" i="2"/>
  <c r="M42" i="2"/>
  <c r="M43" i="2"/>
  <c r="M44" i="2"/>
  <c r="L36" i="2"/>
  <c r="L37" i="2"/>
  <c r="L38" i="2"/>
  <c r="L39" i="2"/>
  <c r="L40" i="2"/>
  <c r="L41" i="2"/>
  <c r="L42" i="2"/>
  <c r="L43" i="2"/>
  <c r="L44" i="2"/>
  <c r="K36" i="2"/>
  <c r="K37" i="2"/>
  <c r="K38" i="2"/>
  <c r="K39" i="2"/>
  <c r="K40" i="2"/>
  <c r="K41" i="2"/>
  <c r="K42" i="2"/>
  <c r="K43" i="2"/>
  <c r="K44" i="2"/>
  <c r="N35" i="2"/>
  <c r="M35" i="2"/>
  <c r="L35" i="2"/>
  <c r="K35" i="2"/>
  <c r="J40" i="2"/>
  <c r="J38" i="2"/>
  <c r="J36" i="2"/>
  <c r="I36" i="2"/>
  <c r="I37" i="2"/>
  <c r="I38" i="2"/>
  <c r="I39" i="2"/>
  <c r="I40" i="2"/>
  <c r="I41" i="2"/>
  <c r="I42" i="2"/>
  <c r="I43" i="2"/>
  <c r="I44" i="2"/>
  <c r="I35" i="2"/>
  <c r="H36" i="2"/>
  <c r="H37" i="2"/>
  <c r="H38" i="2"/>
  <c r="H39" i="2"/>
  <c r="H40" i="2"/>
  <c r="H41" i="2"/>
  <c r="H42" i="2"/>
  <c r="H43" i="2"/>
  <c r="H44" i="2"/>
  <c r="H35" i="2"/>
  <c r="J7" i="2"/>
  <c r="Q24" i="2"/>
  <c r="P24" i="2"/>
  <c r="Q23" i="2"/>
  <c r="P23" i="2"/>
  <c r="R13" i="2"/>
  <c r="S14" i="2"/>
  <c r="S13" i="2"/>
  <c r="E10" i="2"/>
  <c r="D10" i="2"/>
  <c r="E9" i="2"/>
  <c r="D9" i="2"/>
  <c r="R14" i="2"/>
  <c r="N104" i="2" l="1"/>
  <c r="N106" i="2"/>
  <c r="N105" i="2"/>
  <c r="K87" i="2"/>
  <c r="I103" i="2" s="1"/>
  <c r="H103" i="2"/>
  <c r="G105" i="2"/>
  <c r="G100" i="2"/>
  <c r="G106" i="2"/>
  <c r="M103" i="2"/>
  <c r="N103" i="2" s="1"/>
  <c r="K83" i="2"/>
  <c r="H104" i="2"/>
  <c r="G103" i="2"/>
  <c r="G104" i="2"/>
  <c r="K90" i="2"/>
  <c r="O106" i="2" s="1"/>
  <c r="K91" i="2"/>
  <c r="K89" i="2"/>
  <c r="O105" i="2" s="1"/>
  <c r="K88" i="2"/>
  <c r="H45" i="2"/>
  <c r="I104" i="2" l="1"/>
  <c r="O103" i="2"/>
  <c r="J103" i="2"/>
  <c r="O104" i="2"/>
  <c r="J106" i="2"/>
  <c r="I106" i="2"/>
  <c r="J105" i="2"/>
  <c r="I105" i="2"/>
  <c r="J104" i="2"/>
  <c r="K9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<sst xmlns="http://schemas.openxmlformats.org/spreadsheetml/2006/main" count="415" uniqueCount="294">
  <si>
    <t xml:space="preserve">Name </t>
  </si>
  <si>
    <t xml:space="preserve">Class </t>
  </si>
  <si>
    <t>Marks</t>
  </si>
  <si>
    <t>Subject</t>
  </si>
  <si>
    <t>10th</t>
  </si>
  <si>
    <t>12th</t>
  </si>
  <si>
    <t>9th</t>
  </si>
  <si>
    <t>8th</t>
  </si>
  <si>
    <t>English</t>
  </si>
  <si>
    <t>Science</t>
  </si>
  <si>
    <t>Geography</t>
  </si>
  <si>
    <t>History</t>
  </si>
  <si>
    <t>Maths</t>
  </si>
  <si>
    <t>Biology</t>
  </si>
  <si>
    <t>Practical Marks</t>
  </si>
  <si>
    <t>Students Report</t>
  </si>
  <si>
    <t>Ramesh Dodar</t>
  </si>
  <si>
    <t>Paresh Patel</t>
  </si>
  <si>
    <t>Kamlesh Dobar</t>
  </si>
  <si>
    <t>Hitesh Patel</t>
  </si>
  <si>
    <t>Jitesh Parmar</t>
  </si>
  <si>
    <t>Rahul Prajapati</t>
  </si>
  <si>
    <t>Hello</t>
  </si>
  <si>
    <t>Number</t>
  </si>
  <si>
    <t>Currency</t>
  </si>
  <si>
    <t>Percentage</t>
  </si>
  <si>
    <t>Fraction</t>
  </si>
  <si>
    <t>Short date</t>
  </si>
  <si>
    <t>Long Date</t>
  </si>
  <si>
    <t>Scentific</t>
  </si>
  <si>
    <t>Accounting</t>
  </si>
  <si>
    <t>Text</t>
  </si>
  <si>
    <t>Nymber formating</t>
  </si>
  <si>
    <t>Name</t>
  </si>
  <si>
    <t>Class</t>
  </si>
  <si>
    <t>Rahul</t>
  </si>
  <si>
    <t>Aksash</t>
  </si>
  <si>
    <t>Paresh</t>
  </si>
  <si>
    <t>Jayesh</t>
  </si>
  <si>
    <t>Ritesh</t>
  </si>
  <si>
    <t>Column1</t>
  </si>
  <si>
    <t>Column2</t>
  </si>
  <si>
    <t>Eng</t>
  </si>
  <si>
    <t>Math</t>
  </si>
  <si>
    <t>sci</t>
  </si>
  <si>
    <t>history</t>
  </si>
  <si>
    <t>Comp</t>
  </si>
  <si>
    <t>No.</t>
  </si>
  <si>
    <t>Student Name</t>
  </si>
  <si>
    <t>Aarav Patel</t>
  </si>
  <si>
    <t>Diya Sharma</t>
  </si>
  <si>
    <t>Rohan Mehta</t>
  </si>
  <si>
    <t>Ananya Gupta</t>
  </si>
  <si>
    <t>Vivaan Shah</t>
  </si>
  <si>
    <t>Isha Verma</t>
  </si>
  <si>
    <t>Kunal Desai</t>
  </si>
  <si>
    <t>Meera Nair</t>
  </si>
  <si>
    <t>Arjun Singh</t>
  </si>
  <si>
    <t>Neha Joshi</t>
  </si>
  <si>
    <t>Addition</t>
  </si>
  <si>
    <t>Multiplication</t>
  </si>
  <si>
    <t>Total</t>
  </si>
  <si>
    <t xml:space="preserve">Average </t>
  </si>
  <si>
    <t>Max</t>
  </si>
  <si>
    <t>Min</t>
  </si>
  <si>
    <t>conversion</t>
  </si>
  <si>
    <t>Ltotal</t>
  </si>
  <si>
    <t>Lmultiply</t>
  </si>
  <si>
    <t>Laverage</t>
  </si>
  <si>
    <t>Data</t>
  </si>
  <si>
    <t>Good</t>
  </si>
  <si>
    <t>Count</t>
  </si>
  <si>
    <t>CountA</t>
  </si>
  <si>
    <t>CountBlank</t>
  </si>
  <si>
    <t>Fees Paid</t>
  </si>
  <si>
    <t>Joining Date</t>
  </si>
  <si>
    <t>Topic</t>
  </si>
  <si>
    <t>Alignment</t>
  </si>
  <si>
    <t>Number Formatting</t>
  </si>
  <si>
    <t>Styles</t>
  </si>
  <si>
    <t>Basic Formulas</t>
  </si>
  <si>
    <t>Student_1</t>
  </si>
  <si>
    <t>Instructions</t>
  </si>
  <si>
    <t>Align student names to Center</t>
  </si>
  <si>
    <t xml:space="preserve">Format Fees Paid column as Currency. </t>
  </si>
  <si>
    <t xml:space="preserve">1. Use Conditional Formatting to highlight Marks &lt; 40 in Red. 
</t>
  </si>
  <si>
    <t xml:space="preserve">On a new row below the data: </t>
  </si>
  <si>
    <t>Student_2</t>
  </si>
  <si>
    <t xml:space="preserve">Marks to Right, </t>
  </si>
  <si>
    <t xml:space="preserve">Format Marks as Number with 0 decimals. </t>
  </si>
  <si>
    <t xml:space="preserve">2. Highlight Marks &gt;= 90 in Green. </t>
  </si>
  <si>
    <t>Use SUM to calculate total of Marks and Fees.</t>
  </si>
  <si>
    <t>Student_3</t>
  </si>
  <si>
    <t xml:space="preserve">and Fees Paid to Left. </t>
  </si>
  <si>
    <t>Show Joining Date in 'DD-MMM-YYYY' format.</t>
  </si>
  <si>
    <t xml:space="preserve">3. Convert the dataset into a Table. </t>
  </si>
  <si>
    <t>Use COUNT to COUNT total students.</t>
  </si>
  <si>
    <t>Student_4</t>
  </si>
  <si>
    <t>Use Wrap Text for long headings.</t>
  </si>
  <si>
    <t>4. Apply Heading and Title cell styles.</t>
  </si>
  <si>
    <t>Use MIN to find lowest marks.</t>
  </si>
  <si>
    <t>Student_5</t>
  </si>
  <si>
    <t>Use MAX to find highest marks.</t>
  </si>
  <si>
    <t>Student_6</t>
  </si>
  <si>
    <t>Use AVERAGE to calculate AVERAGE marks.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</si>
  <si>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</si>
  <si>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</si>
  <si>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</si>
  <si>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</si>
  <si>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</si>
  <si>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</si>
  <si>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</si>
  <si>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</si>
  <si>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</si>
  <si>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</si>
  <si>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</si>
  <si>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</si>
  <si>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</si>
  <si>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</si>
  <si>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</si>
  <si>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</si>
  <si>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</si>
  <si>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</si>
  <si>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</si>
  <si>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</si>
  <si>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</si>
  <si>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</si>
  <si>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</si>
  <si>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</si>
  <si>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</si>
  <si>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</si>
  <si>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</si>
  <si>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</si>
  <si>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</si>
  <si>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</si>
  <si>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</si>
  <si>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</si>
  <si>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</si>
  <si>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</si>
  <si>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</si>
  <si>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</si>
  <si>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</si>
  <si>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</si>
  <si>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</si>
  <si>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</si>
  <si>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</si>
  <si>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</si>
  <si>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</si>
  <si>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</si>
  <si>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</si>
  <si>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</si>
  <si>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</si>
  <si>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</si>
  <si>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</si>
  <si>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</si>
  <si>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</si>
  <si>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</si>
  <si>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</si>
  <si>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</si>
  <si>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</si>
  <si>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</si>
  <si>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</si>
  <si>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</si>
  <si>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</si>
  <si>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</si>
  <si>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</si>
  <si>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</si>
  <si>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</si>
  <si>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</si>
  <si>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</si>
  <si>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</si>
  <si>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</si>
  <si>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</si>
  <si>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</si>
  <si>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</si>
  <si>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</si>
  <si>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</si>
  <si>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</si>
  <si>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</si>
  <si>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</si>
  <si>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</si>
  <si>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</si>
  <si>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</si>
  <si>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</si>
  <si>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</si>
  <si>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</si>
  <si>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</si>
  <si>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</si>
  <si>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</si>
  <si>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</si>
  <si>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</si>
  <si>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</si>
  <si>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</si>
  <si>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</si>
  <si>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</si>
  <si>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</si>
  <si>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</si>
  <si>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</si>
  <si>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</si>
  <si>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</si>
  <si>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</si>
  <si>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</si>
  <si>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</si>
  <si>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</si>
  <si>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</si>
  <si>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</si>
  <si>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</si>
  <si>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</si>
  <si>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</si>
  <si>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</si>
  <si>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</si>
  <si>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</si>
  <si>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</si>
  <si>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</si>
  <si>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</si>
  <si>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</si>
  <si>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</si>
  <si>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</si>
  <si>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</si>
  <si>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id</t>
  </si>
  <si>
    <t>first_name</t>
  </si>
  <si>
    <t>last_name</t>
  </si>
  <si>
    <t>adhhar_number</t>
  </si>
  <si>
    <t>date</t>
  </si>
  <si>
    <t>Ravi</t>
  </si>
  <si>
    <t>1234-5678-9012</t>
  </si>
  <si>
    <t>*Anita</t>
  </si>
  <si>
    <t>2345 6789 0123</t>
  </si>
  <si>
    <t>Raj@@</t>
  </si>
  <si>
    <t>3456-7890-1234</t>
  </si>
  <si>
    <t>2024.03.10</t>
  </si>
  <si>
    <t>Suresh</t>
  </si>
  <si>
    <t>4567 8901 2345</t>
  </si>
  <si>
    <t>Meena</t>
  </si>
  <si>
    <t>5678-9012-3456</t>
  </si>
  <si>
    <t>!Kiran</t>
  </si>
  <si>
    <t>Desai</t>
  </si>
  <si>
    <t>6789 0123 4567</t>
  </si>
  <si>
    <t>Pooja</t>
  </si>
  <si>
    <t>7890-1234-5678</t>
  </si>
  <si>
    <t>Amit</t>
  </si>
  <si>
    <t>8901 2345 6789</t>
  </si>
  <si>
    <t>20-08- 2024</t>
  </si>
  <si>
    <t>Neha$$</t>
  </si>
  <si>
    <t>Mehta</t>
  </si>
  <si>
    <t>9012-3456-7890</t>
  </si>
  <si>
    <t>2024.09.25</t>
  </si>
  <si>
    <t>Rohit</t>
  </si>
  <si>
    <t>0123 4567 8901</t>
  </si>
  <si>
    <t>25/10/24</t>
  </si>
  <si>
    <t>Trim</t>
  </si>
  <si>
    <t xml:space="preserve"> Sharma</t>
  </si>
  <si>
    <t xml:space="preserve">Patel </t>
  </si>
  <si>
    <t xml:space="preserve"> Verma </t>
  </si>
  <si>
    <t xml:space="preserve"> Joshi </t>
  </si>
  <si>
    <t>Kumar</t>
  </si>
  <si>
    <t>Singh</t>
  </si>
  <si>
    <t>Gupta</t>
  </si>
  <si>
    <t>Kulkarni</t>
  </si>
  <si>
    <t>trim</t>
  </si>
  <si>
    <t>Top Products</t>
  </si>
  <si>
    <t>Product Code</t>
  </si>
  <si>
    <t>Quantity</t>
  </si>
  <si>
    <t>Price (₹)</t>
  </si>
  <si>
    <t>Wireless Mouse</t>
  </si>
  <si>
    <t>P001</t>
  </si>
  <si>
    <t>Bluetooth Speaker</t>
  </si>
  <si>
    <t>P002</t>
  </si>
  <si>
    <t>Laptop Stand</t>
  </si>
  <si>
    <t>P003</t>
  </si>
  <si>
    <t>USB-C Charger</t>
  </si>
  <si>
    <t>P004</t>
  </si>
  <si>
    <t>Gaming Keyboard</t>
  </si>
  <si>
    <t>P005</t>
  </si>
  <si>
    <t>vlookup</t>
  </si>
  <si>
    <t>product</t>
  </si>
  <si>
    <t xml:space="preserve">price </t>
  </si>
  <si>
    <t xml:space="preserve">unit </t>
  </si>
  <si>
    <t>total</t>
  </si>
  <si>
    <t>vlookup withvalidation</t>
  </si>
  <si>
    <t>hlookup</t>
  </si>
  <si>
    <t>price</t>
  </si>
  <si>
    <t>Index</t>
  </si>
  <si>
    <t>Match</t>
  </si>
  <si>
    <t>indexmatch club</t>
  </si>
  <si>
    <t>unity</t>
  </si>
  <si>
    <t>xlookup</t>
  </si>
  <si>
    <t>Student</t>
  </si>
  <si>
    <t>a</t>
  </si>
  <si>
    <t>b</t>
  </si>
  <si>
    <t>c</t>
  </si>
  <si>
    <t>d</t>
  </si>
  <si>
    <t>Relative Reference</t>
  </si>
  <si>
    <t>Mixed Refrence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</si>
</sst>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yyyy\-mm\-dd;@"/>
    <numFmt numFmtId="166" formatCode="[$-F800]dddd\,\ mmmm\ dd\,\ yyyy"/>
    <numFmt numFmtId="167" formatCode="[$-409]d\-mmm\-yyyy;@"/>
  </numFmts>
  <fonts count="5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12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  <xf numFmtId="4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2" fillId="5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5" borderId="1" xfId="0" applyFont="1" applyFill="1" applyBorder="1" applyAlignment="1">
      <alignment horizontal="center" vertical="top"/>
    </xf>
    <xf numFmtId="0" fontId="0" fillId="6" borderId="0" xfId="0" applyFill="1"/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1" fontId="0" fillId="0" borderId="0" xfId="0" applyNumberFormat="1"/>
    <xf numFmtId="167" fontId="0" fillId="0" borderId="0" xfId="0" applyNumberFormat="1"/>
    <xf numFmtId="0" fontId="3" fillId="0" borderId="3" xfId="0" applyFont="1" applyBorder="1" applyAlignment="1">
      <alignment horizontal="center" vertical="top"/>
    </xf>
    <xf numFmtId="1" fontId="3" fillId="0" borderId="3" xfId="0" applyNumberFormat="1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left" vertical="top"/>
    </xf>
    <xf numFmtId="167" fontId="3" fillId="0" borderId="3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vertical="center" wrapText="1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/>
    <xf numFmtId="9" fontId="0" fillId="0" borderId="0" xfId="1" applyNumberFormat="1" applyFont="1"/>
    <xf numFmtId="9" fontId="2" fillId="0" borderId="0" xfId="1" applyNumberFormat="1" applyFont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7" formatCode="[$-409]d\-mmm\-yyyy;@"/>
    </dxf>
    <dxf>
      <numFmt numFmtId="167" formatCode="[$-409]d\-mmm\-yyyy;@"/>
    </dxf>
    <dxf>
      <numFmt numFmtId="164" formatCode="&quot;$&quot;#,##0.00"/>
      <alignment horizontal="left" vertical="bottom" textRotation="0" wrapText="0" indent="0" justifyLastLine="0" shrinkToFit="0" readingOrder="0"/>
    </dxf>
    <dxf>
      <numFmt numFmtId="164" formatCode="&quot;$&quot;#,##0.00"/>
      <alignment horizontal="left" vertical="bottom" textRotation="0" wrapText="0" indent="0" justifyLastLine="0" shrinkToFit="0" readingOrder="0"/>
    </dxf>
    <dxf>
      <numFmt numFmtId="1" formatCode="0"/>
    </dxf>
    <dxf>
      <numFmt numFmtId="1" formatCode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FF07B8-73EE-4D35-9C38-DEA6EB4F27F4}" name="Table8" displayName="Table8" ref="A1:D122" totalsRowCount="1" headerRowBorderDxfId="31" tableBorderDxfId="30">
  <autoFilter ref="A1:D121" xr:uid="{46FF07B8-73EE-4D35-9C38-DEA6EB4F27F4}"/>
  <tableColumns count="4">
    <tableColumn id="1" xr3:uid="{95E4BE19-595F-403D-9D37-CF121D7058EB}" name="Student Name" totalsRowFunction="custom" dataDxfId="29" totalsRowDxfId="28">
      <totalsRowFormula array="1">coun</totalsRowFormula>
    </tableColumn>
    <tableColumn id="2" xr3:uid="{81E051F6-40CF-4563-ACEE-327458B0CE4F}" name="Marks" totalsRowFunction="custom" dataDxfId="27" totalsRowDxfId="26">
      <totalsRowFormula>SUM(B2:B121)</totalsRowFormula>
    </tableColumn>
    <tableColumn id="3" xr3:uid="{256518B9-48D6-42DF-B415-A33D50834E2F}" name="Fees Paid" totalsRowFunction="custom" dataDxfId="25" totalsRowDxfId="24">
      <totalsRowFormula>SUM(C2:C121)</totalsRowFormula>
    </tableColumn>
    <tableColumn id="4" xr3:uid="{DCAC1C31-0061-4D94-817D-C9C27CFAC5DA}" name="Joining Date" dataDxfId="23" totalsRow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C07D7F-E43F-4703-8E51-A002065BFC50}" name="Table3" displayName="Table3" ref="E15:G20" totalsRowShown="0">
  <autoFilter ref="E15:G20" xr:uid="{F9C07D7F-E43F-4703-8E51-A002065BFC50}"/>
  <tableColumns count="3">
    <tableColumn id="1" xr3:uid="{CCF9932B-1CEC-4216-9F89-62C80FF949D9}" name="Name"/>
    <tableColumn id="2" xr3:uid="{46CA5D99-22A2-42EB-AD23-8B93BBB2E012}" name="Class"/>
    <tableColumn id="3" xr3:uid="{25E12802-572A-4C6C-92B3-D433B2CE83A1}" name="Subject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CC9B48-DB1F-4D3D-9EBE-8F877BE492D1}" name="Table36" displayName="Table36" ref="C24:E29" totalsRowShown="0">
  <autoFilter ref="C24:E29" xr:uid="{8ACC9B48-DB1F-4D3D-9EBE-8F877BE492D1}"/>
  <tableColumns count="3">
    <tableColumn id="1" xr3:uid="{BEACE551-2561-4BD4-B695-0C6E391282B4}" name="Name"/>
    <tableColumn id="2" xr3:uid="{319A604B-A7D4-4972-93B6-FA28C8CE7E23}" name="Class"/>
    <tableColumn id="3" xr3:uid="{8B71236E-6090-4D69-AD34-F86413E725B0}" name="Subject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1959A5-CB5A-4C04-A749-7135C4B27AF2}" name="Table6" displayName="Table6" ref="B34:Q44" totalsRowShown="0" headerRowDxfId="21">
  <autoFilter ref="B34:Q44" xr:uid="{CE1959A5-CB5A-4C04-A749-7135C4B27AF2}"/>
  <tableColumns count="16">
    <tableColumn id="1" xr3:uid="{5E65C908-C5B3-4140-BC36-88C9E874D129}" name="No." dataDxfId="20"/>
    <tableColumn id="2" xr3:uid="{89BF7355-B41C-4F67-AB1B-D1A0E992D1AB}" name="Student Name" dataDxfId="19"/>
    <tableColumn id="3" xr3:uid="{5BFDDEB4-94E1-4412-8985-5002EDD7B1F1}" name="Math" dataDxfId="18"/>
    <tableColumn id="4" xr3:uid="{A58F8878-F94B-4BEA-A0D1-0E178229C083}" name="Science" dataDxfId="17"/>
    <tableColumn id="5" xr3:uid="{BB7B6A20-BEE6-450B-96C8-BA4D8AD4BF1C}" name="English" dataDxfId="16"/>
    <tableColumn id="6" xr3:uid="{2A225448-8886-47A3-97B1-40EFD2CEF5D0}" name="History" dataDxfId="15"/>
    <tableColumn id="7" xr3:uid="{D136EB4B-ACAF-4AA6-8122-0B61C8AB70F8}" name="Addition">
      <calculatedColumnFormula>SUM(D35:G35)</calculatedColumnFormula>
    </tableColumn>
    <tableColumn id="8" xr3:uid="{B97079F5-1F2C-403C-BE25-AF93384E4EA8}" name="Multiplication">
      <calculatedColumnFormula>PRODUCT(D35:G35)</calculatedColumnFormula>
    </tableColumn>
    <tableColumn id="9" xr3:uid="{4111A4FE-8F36-4EBB-94C1-EA26FC678E6E}" name="conversion"/>
    <tableColumn id="10" xr3:uid="{67ABB65A-050C-45DB-A277-42BDDD78F372}" name="Total">
      <calculatedColumnFormula>SUM(D35:G35)</calculatedColumnFormula>
    </tableColumn>
    <tableColumn id="11" xr3:uid="{A04B4C73-B8F1-45A2-9216-0A633C5D9314}" name="Average ">
      <calculatedColumnFormula>AVERAGE(D35:G35)</calculatedColumnFormula>
    </tableColumn>
    <tableColumn id="12" xr3:uid="{54619E23-2448-4E0F-A582-C4DC1943D893}" name="Max">
      <calculatedColumnFormula>MAX(D35:G35)</calculatedColumnFormula>
    </tableColumn>
    <tableColumn id="13" xr3:uid="{FE1255D0-B28B-4847-A534-B74E89EDCE8A}" name="Min">
      <calculatedColumnFormula>MIN(D35:G35)</calculatedColumnFormula>
    </tableColumn>
    <tableColumn id="14" xr3:uid="{6BB1F2F3-29B9-4E58-AF23-B1D4A73733DF}" name="Ltotal" dataDxfId="14">
      <calculatedColumnFormula>SUM(Table6[[#This Row],[Math]:[History]])</calculatedColumnFormula>
    </tableColumn>
    <tableColumn id="15" xr3:uid="{3B5CDFD9-70BE-4C72-B306-FDB09BF750DE}" name="Lmultiply" dataDxfId="13">
      <calculatedColumnFormula>PRODUCT(Table6[[#This Row],[Math]:[History]])</calculatedColumnFormula>
    </tableColumn>
    <tableColumn id="16" xr3:uid="{02AA08E5-AC7B-44CF-94B9-AED1F36B08B7}" name="Laverage" dataDxfId="12">
      <calculatedColumnFormula>AVERAGE(Table6[[#This Row],[Math]:[History]])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510B05-1D8A-4DCA-B8E3-48F734C5DCD9}" name="Table7" displayName="Table7" ref="B48:D56" totalsRowShown="0">
  <autoFilter ref="B48:D56" xr:uid="{1F510B05-1D8A-4DCA-B8E3-48F734C5DCD9}"/>
  <tableColumns count="3">
    <tableColumn id="1" xr3:uid="{7B53834C-6207-4A0F-893B-ED58A6C0FF5A}" name="Data"/>
    <tableColumn id="2" xr3:uid="{16F0CE6C-2D4B-4BFF-9957-9F2BE5020CE4}" name="Column1"/>
    <tableColumn id="3" xr3:uid="{738314B8-EE00-4A61-9B49-2874256A6A5B}" name="Column2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4A764D-5B59-4156-A9FB-AE9D9B5E0FA5}" name="Table1" displayName="Table1" ref="C80:F85" totalsRowShown="0" headerRowDxfId="6" dataDxfId="7">
  <autoFilter ref="C80:F85" xr:uid="{464A764D-5B59-4156-A9FB-AE9D9B5E0FA5}"/>
  <tableColumns count="4">
    <tableColumn id="1" xr3:uid="{0D74695A-971C-4DF6-A606-DFB472CB9022}" name="Top Products" dataDxfId="11"/>
    <tableColumn id="2" xr3:uid="{2427C6B0-1AC7-4B47-B52F-281196A20D18}" name="Product Code" dataDxfId="10"/>
    <tableColumn id="3" xr3:uid="{A0B5894C-409D-4D85-8CBD-F32A665F8358}" name="Quantity" dataDxfId="9"/>
    <tableColumn id="4" xr3:uid="{C81128D9-A076-4018-9052-4F34D68CE005}" name="Price (₹)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548D19-2230-4CEC-A732-79FA8A540831}" name="Table4" displayName="Table4" ref="H82:K83" totalsRowShown="0">
  <autoFilter ref="H82:K83" xr:uid="{33548D19-2230-4CEC-A732-79FA8A540831}"/>
  <tableColumns count="4">
    <tableColumn id="1" xr3:uid="{70E209DF-0740-4313-9203-CA344667396F}" name="product"/>
    <tableColumn id="2" xr3:uid="{BE3869AC-AC1E-4D83-BC39-545D50EF0063}" name="price ">
      <calculatedColumnFormula>VLOOKUP(H83,Table1[#All],4,0)</calculatedColumnFormula>
    </tableColumn>
    <tableColumn id="3" xr3:uid="{5E565FD0-F20E-4688-895A-0902E6A2D963}" name="unit ">
      <calculatedColumnFormula>VLOOKUP(H83,Table1[#All],3,0)</calculatedColumnFormula>
    </tableColumn>
    <tableColumn id="4" xr3:uid="{9AB63F21-3B2D-46E1-A280-2A557ACBE105}" name="total">
      <calculatedColumnFormula>PRODUCT(I83:J83)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3031C6-3F94-466C-A61D-A90D52859281}" name="Table410" displayName="Table410" ref="H86:K92" totalsRowCount="1">
  <autoFilter ref="H86:K91" xr:uid="{7F3031C6-3F94-466C-A61D-A90D52859281}"/>
  <tableColumns count="4">
    <tableColumn id="1" xr3:uid="{DDFF19FF-2AAF-496B-B0F4-403954456291}" name="product"/>
    <tableColumn id="2" xr3:uid="{41F80AE3-54F8-4956-A350-7ECA6F385BBA}" name="price ">
      <calculatedColumnFormula>VLOOKUP(H87,Table1[#All],4,0)</calculatedColumnFormula>
    </tableColumn>
    <tableColumn id="3" xr3:uid="{6FFDE8B2-AC0D-4C01-B97F-4CED02F4DD72}" name="unit ">
      <calculatedColumnFormula>VLOOKUP(H87,Table1[#All],3,0)</calculatedColumnFormula>
    </tableColumn>
    <tableColumn id="4" xr3:uid="{5C38AF07-646B-4B35-B5A0-9D4BAEF5BFA1}" name="total" totalsRowFunction="sum">
      <calculatedColumnFormula>PRODUCT(I87:J91)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BEAF-F6A0-44BE-9DB3-7AC144118DBF}">
  <sheetPr>
    <tabColor theme="5" tint="-0.249977111117893"/>
  </sheetPr>
  <dimension ref="A1:O122"/>
  <sheetViews>
    <sheetView topLeftCell="A106" workbookViewId="0">
      <selection activeCell="D127" sqref="D127"/>
    </sheetView>
  </sheetViews>
  <sheetFormatPr defaultRowHeight="15" x14ac:dyDescent="0.25"/>
  <cols>
    <col min="1" max="1" width="15.85546875" style="14" customWidth="1"/>
    <col min="2" max="2" width="9.140625" style="22"/>
    <col min="3" max="3" width="13.140625" style="21" customWidth="1"/>
    <col min="4" max="4" width="20.7109375" style="23" bestFit="1" customWidth="1"/>
    <col min="11" max="11" width="12.42578125" bestFit="1" customWidth="1"/>
    <col min="12" max="12" width="32.7109375" bestFit="1" customWidth="1"/>
    <col min="13" max="13" width="51.140625" customWidth="1"/>
    <col min="14" max="14" width="37.140625" bestFit="1" customWidth="1"/>
    <col min="15" max="15" width="48.5703125" bestFit="1" customWidth="1"/>
  </cols>
  <sheetData>
    <row r="1" spans="1:15" x14ac:dyDescent="0.25">
      <c r="A1" s="24" t="s">
        <v>48</v>
      </c>
      <c r="B1" s="25" t="s">
        <v>2</v>
      </c>
      <c r="C1" s="26" t="s">
        <v>74</v>
      </c>
      <c r="D1" s="27" t="s">
        <v>75</v>
      </c>
      <c r="K1" s="18" t="s">
        <v>76</v>
      </c>
      <c r="L1" s="19" t="s">
        <v>77</v>
      </c>
      <c r="M1" s="19" t="s">
        <v>78</v>
      </c>
      <c r="N1" s="19" t="s">
        <v>79</v>
      </c>
      <c r="O1" s="19" t="s">
        <v>80</v>
      </c>
    </row>
    <row r="2" spans="1:15" ht="18" customHeight="1" x14ac:dyDescent="0.25">
      <c r="A2" s="14" t="s">
        <v>81</v>
      </c>
      <c r="B2" s="22">
        <v>81</v>
      </c>
      <c r="C2" s="21">
        <v>3309.59</v>
      </c>
      <c r="D2" s="23">
        <v>45480</v>
      </c>
      <c r="K2" s="18" t="s">
        <v>82</v>
      </c>
      <c r="L2" t="s">
        <v>83</v>
      </c>
      <c r="M2" t="s">
        <v>84</v>
      </c>
      <c r="N2" s="20" t="s">
        <v>85</v>
      </c>
      <c r="O2" t="s">
        <v>86</v>
      </c>
    </row>
    <row r="3" spans="1:15" x14ac:dyDescent="0.25">
      <c r="A3" s="14" t="s">
        <v>87</v>
      </c>
      <c r="B3" s="22">
        <v>44</v>
      </c>
      <c r="C3" s="21">
        <v>1830.35</v>
      </c>
      <c r="D3" s="23">
        <v>45474</v>
      </c>
      <c r="L3" t="s">
        <v>88</v>
      </c>
      <c r="M3" t="s">
        <v>89</v>
      </c>
      <c r="N3" t="s">
        <v>90</v>
      </c>
      <c r="O3" t="s">
        <v>91</v>
      </c>
    </row>
    <row r="4" spans="1:15" x14ac:dyDescent="0.25">
      <c r="A4" s="14" t="s">
        <v>92</v>
      </c>
      <c r="B4" s="22">
        <v>90</v>
      </c>
      <c r="C4" s="21">
        <v>974.72</v>
      </c>
      <c r="D4" s="23">
        <v>45295</v>
      </c>
      <c r="L4" t="s">
        <v>93</v>
      </c>
      <c r="M4" t="s">
        <v>94</v>
      </c>
      <c r="N4" t="s">
        <v>95</v>
      </c>
      <c r="O4" t="s">
        <v>96</v>
      </c>
    </row>
    <row r="5" spans="1:15" x14ac:dyDescent="0.25">
      <c r="A5" s="14" t="s">
        <v>97</v>
      </c>
      <c r="B5" s="22">
        <v>50</v>
      </c>
      <c r="C5" s="21">
        <v>2554.41</v>
      </c>
      <c r="D5" s="23">
        <v>45347</v>
      </c>
      <c r="L5" t="s">
        <v>98</v>
      </c>
      <c r="N5" t="s">
        <v>99</v>
      </c>
      <c r="O5" t="s">
        <v>100</v>
      </c>
    </row>
    <row r="6" spans="1:15" x14ac:dyDescent="0.25">
      <c r="A6" s="14" t="s">
        <v>101</v>
      </c>
      <c r="B6" s="22">
        <v>53</v>
      </c>
      <c r="C6" s="21">
        <v>1482.98</v>
      </c>
      <c r="D6" s="23">
        <v>45415</v>
      </c>
      <c r="O6" t="s">
        <v>102</v>
      </c>
    </row>
    <row r="7" spans="1:15" x14ac:dyDescent="0.25">
      <c r="A7" s="14" t="s">
        <v>103</v>
      </c>
      <c r="B7" s="22">
        <v>32</v>
      </c>
      <c r="C7" s="21">
        <v>2374.29</v>
      </c>
      <c r="D7" s="23">
        <v>45382</v>
      </c>
      <c r="O7" t="s">
        <v>104</v>
      </c>
    </row>
    <row r="8" spans="1:15" x14ac:dyDescent="0.25">
      <c r="A8" s="14" t="s">
        <v>105</v>
      </c>
      <c r="B8" s="22">
        <v>51</v>
      </c>
      <c r="C8" s="21">
        <v>4474.76</v>
      </c>
      <c r="D8" s="23">
        <v>45369</v>
      </c>
    </row>
    <row r="9" spans="1:15" x14ac:dyDescent="0.25">
      <c r="A9" s="14" t="s">
        <v>106</v>
      </c>
      <c r="B9" s="22">
        <v>82</v>
      </c>
      <c r="C9" s="21">
        <v>1959.55</v>
      </c>
      <c r="D9" s="23">
        <v>45460</v>
      </c>
    </row>
    <row r="10" spans="1:15" x14ac:dyDescent="0.25">
      <c r="A10" s="14" t="s">
        <v>107</v>
      </c>
      <c r="B10" s="22">
        <v>31</v>
      </c>
      <c r="C10" s="21">
        <v>1049.4000000000001</v>
      </c>
      <c r="D10" s="23">
        <v>45302</v>
      </c>
    </row>
    <row r="11" spans="1:15" x14ac:dyDescent="0.25">
      <c r="A11" s="14" t="s">
        <v>108</v>
      </c>
      <c r="B11" s="22">
        <v>59</v>
      </c>
      <c r="C11" s="21">
        <v>2103.34</v>
      </c>
      <c r="D11" s="23">
        <v>45417</v>
      </c>
    </row>
    <row r="12" spans="1:15" x14ac:dyDescent="0.25">
      <c r="A12" s="14" t="s">
        <v>109</v>
      </c>
      <c r="B12" s="22">
        <v>67</v>
      </c>
      <c r="C12" s="21">
        <v>4580.7299999999996</v>
      </c>
      <c r="D12" s="23">
        <v>45461</v>
      </c>
    </row>
    <row r="13" spans="1:15" x14ac:dyDescent="0.25">
      <c r="A13" s="14" t="s">
        <v>110</v>
      </c>
      <c r="B13" s="22">
        <v>31</v>
      </c>
      <c r="C13" s="21">
        <v>1724.6</v>
      </c>
      <c r="D13" s="23">
        <v>45445</v>
      </c>
    </row>
    <row r="14" spans="1:15" x14ac:dyDescent="0.25">
      <c r="A14" s="14" t="s">
        <v>111</v>
      </c>
      <c r="B14" s="22">
        <v>93</v>
      </c>
      <c r="C14" s="21">
        <v>3414.61</v>
      </c>
      <c r="D14" s="23">
        <v>45335</v>
      </c>
    </row>
    <row r="15" spans="1:15" x14ac:dyDescent="0.25">
      <c r="A15" s="14" t="s">
        <v>112</v>
      </c>
      <c r="B15" s="22">
        <v>89</v>
      </c>
      <c r="C15" s="21">
        <v>502.34</v>
      </c>
      <c r="D15" s="23">
        <v>45405</v>
      </c>
    </row>
    <row r="16" spans="1:15" x14ac:dyDescent="0.25">
      <c r="A16" s="14" t="s">
        <v>113</v>
      </c>
      <c r="B16" s="22">
        <v>50</v>
      </c>
      <c r="C16" s="21">
        <v>2086.56</v>
      </c>
      <c r="D16" s="23">
        <v>45410</v>
      </c>
    </row>
    <row r="17" spans="1:4" x14ac:dyDescent="0.25">
      <c r="A17" s="14" t="s">
        <v>114</v>
      </c>
      <c r="B17" s="22">
        <v>62</v>
      </c>
      <c r="C17" s="21">
        <v>1871.52</v>
      </c>
      <c r="D17" s="23">
        <v>45296</v>
      </c>
    </row>
    <row r="18" spans="1:4" x14ac:dyDescent="0.25">
      <c r="A18" s="14" t="s">
        <v>115</v>
      </c>
      <c r="B18" s="22">
        <v>87</v>
      </c>
      <c r="C18" s="21">
        <v>1240.95</v>
      </c>
      <c r="D18" s="23">
        <v>45324</v>
      </c>
    </row>
    <row r="19" spans="1:4" x14ac:dyDescent="0.25">
      <c r="A19" s="14" t="s">
        <v>116</v>
      </c>
      <c r="B19" s="22">
        <v>51</v>
      </c>
      <c r="C19" s="21">
        <v>2903.4</v>
      </c>
      <c r="D19" s="23">
        <v>45485</v>
      </c>
    </row>
    <row r="20" spans="1:4" x14ac:dyDescent="0.25">
      <c r="A20" s="14" t="s">
        <v>117</v>
      </c>
      <c r="B20" s="22">
        <v>78</v>
      </c>
      <c r="C20" s="21">
        <v>2681.73</v>
      </c>
      <c r="D20" s="23">
        <v>45295</v>
      </c>
    </row>
    <row r="21" spans="1:4" x14ac:dyDescent="0.25">
      <c r="A21" s="14" t="s">
        <v>118</v>
      </c>
      <c r="B21" s="22">
        <v>88</v>
      </c>
      <c r="C21" s="21">
        <v>3615.96</v>
      </c>
      <c r="D21" s="23">
        <v>45435</v>
      </c>
    </row>
    <row r="22" spans="1:4" x14ac:dyDescent="0.25">
      <c r="A22" s="14" t="s">
        <v>119</v>
      </c>
      <c r="B22" s="22">
        <v>71</v>
      </c>
      <c r="C22" s="21">
        <v>1712.36</v>
      </c>
      <c r="D22" s="23">
        <v>45434</v>
      </c>
    </row>
    <row r="23" spans="1:4" x14ac:dyDescent="0.25">
      <c r="A23" s="14" t="s">
        <v>120</v>
      </c>
      <c r="B23" s="22">
        <v>89</v>
      </c>
      <c r="C23" s="21">
        <v>1598.56</v>
      </c>
      <c r="D23" s="23">
        <v>45356</v>
      </c>
    </row>
    <row r="24" spans="1:4" x14ac:dyDescent="0.25">
      <c r="A24" s="14" t="s">
        <v>121</v>
      </c>
      <c r="B24" s="22">
        <v>44</v>
      </c>
      <c r="C24" s="21">
        <v>1257.31</v>
      </c>
      <c r="D24" s="23">
        <v>45295</v>
      </c>
    </row>
    <row r="25" spans="1:4" x14ac:dyDescent="0.25">
      <c r="A25" s="14" t="s">
        <v>122</v>
      </c>
      <c r="B25" s="22">
        <v>91</v>
      </c>
      <c r="C25" s="21">
        <v>1484.44</v>
      </c>
      <c r="D25" s="23">
        <v>45418</v>
      </c>
    </row>
    <row r="26" spans="1:4" x14ac:dyDescent="0.25">
      <c r="A26" s="14" t="s">
        <v>123</v>
      </c>
      <c r="B26" s="22">
        <v>91</v>
      </c>
      <c r="C26" s="21">
        <v>3011.46</v>
      </c>
      <c r="D26" s="23">
        <v>45483</v>
      </c>
    </row>
    <row r="27" spans="1:4" x14ac:dyDescent="0.25">
      <c r="A27" s="14" t="s">
        <v>124</v>
      </c>
      <c r="B27" s="22">
        <v>76</v>
      </c>
      <c r="C27" s="21">
        <v>2317.2600000000002</v>
      </c>
      <c r="D27" s="23">
        <v>45488</v>
      </c>
    </row>
    <row r="28" spans="1:4" x14ac:dyDescent="0.25">
      <c r="A28" s="14" t="s">
        <v>125</v>
      </c>
      <c r="B28" s="22">
        <v>91</v>
      </c>
      <c r="C28" s="21">
        <v>792.02</v>
      </c>
      <c r="D28" s="23">
        <v>45487</v>
      </c>
    </row>
    <row r="29" spans="1:4" x14ac:dyDescent="0.25">
      <c r="A29" s="14" t="s">
        <v>126</v>
      </c>
      <c r="B29" s="22">
        <v>80</v>
      </c>
      <c r="C29" s="21">
        <v>1642.62</v>
      </c>
      <c r="D29" s="23">
        <v>45480</v>
      </c>
    </row>
    <row r="30" spans="1:4" x14ac:dyDescent="0.25">
      <c r="A30" s="14" t="s">
        <v>127</v>
      </c>
      <c r="B30" s="22">
        <v>84</v>
      </c>
      <c r="C30" s="21">
        <v>1610.94</v>
      </c>
      <c r="D30" s="23">
        <v>45366</v>
      </c>
    </row>
    <row r="31" spans="1:4" x14ac:dyDescent="0.25">
      <c r="A31" s="14" t="s">
        <v>128</v>
      </c>
      <c r="B31" s="22">
        <v>93</v>
      </c>
      <c r="C31" s="21">
        <v>3633.37</v>
      </c>
      <c r="D31" s="23">
        <v>45457</v>
      </c>
    </row>
    <row r="32" spans="1:4" x14ac:dyDescent="0.25">
      <c r="A32" s="14" t="s">
        <v>129</v>
      </c>
      <c r="B32" s="22">
        <v>32</v>
      </c>
      <c r="C32" s="21">
        <v>3705.22</v>
      </c>
      <c r="D32" s="23">
        <v>45308</v>
      </c>
    </row>
    <row r="33" spans="1:4" x14ac:dyDescent="0.25">
      <c r="A33" s="14" t="s">
        <v>130</v>
      </c>
      <c r="B33" s="22">
        <v>80</v>
      </c>
      <c r="C33" s="21">
        <v>1166.3900000000001</v>
      </c>
      <c r="D33" s="23">
        <v>45299</v>
      </c>
    </row>
    <row r="34" spans="1:4" x14ac:dyDescent="0.25">
      <c r="A34" s="14" t="s">
        <v>131</v>
      </c>
      <c r="B34" s="22">
        <v>36</v>
      </c>
      <c r="C34" s="21">
        <v>4989.83</v>
      </c>
      <c r="D34" s="23">
        <v>45315</v>
      </c>
    </row>
    <row r="35" spans="1:4" x14ac:dyDescent="0.25">
      <c r="A35" s="14" t="s">
        <v>132</v>
      </c>
      <c r="B35" s="22">
        <v>50</v>
      </c>
      <c r="C35" s="21">
        <v>1700.51</v>
      </c>
      <c r="D35" s="23">
        <v>45321</v>
      </c>
    </row>
    <row r="36" spans="1:4" x14ac:dyDescent="0.25">
      <c r="A36" s="14" t="s">
        <v>133</v>
      </c>
      <c r="B36" s="22">
        <v>68</v>
      </c>
      <c r="C36" s="21">
        <v>4894.7700000000004</v>
      </c>
      <c r="D36" s="23">
        <v>45448</v>
      </c>
    </row>
    <row r="37" spans="1:4" x14ac:dyDescent="0.25">
      <c r="A37" s="14" t="s">
        <v>134</v>
      </c>
      <c r="B37" s="22">
        <v>47</v>
      </c>
      <c r="C37" s="21">
        <v>2349.67</v>
      </c>
      <c r="D37" s="23">
        <v>45299</v>
      </c>
    </row>
    <row r="38" spans="1:4" x14ac:dyDescent="0.25">
      <c r="A38" s="14" t="s">
        <v>135</v>
      </c>
      <c r="B38" s="22">
        <v>33</v>
      </c>
      <c r="C38" s="21">
        <v>648.73</v>
      </c>
      <c r="D38" s="23">
        <v>45478</v>
      </c>
    </row>
    <row r="39" spans="1:4" x14ac:dyDescent="0.25">
      <c r="A39" s="14" t="s">
        <v>136</v>
      </c>
      <c r="B39" s="22">
        <v>89</v>
      </c>
      <c r="C39" s="21">
        <v>2052.8200000000002</v>
      </c>
      <c r="D39" s="23">
        <v>45352</v>
      </c>
    </row>
    <row r="40" spans="1:4" x14ac:dyDescent="0.25">
      <c r="A40" s="14" t="s">
        <v>137</v>
      </c>
      <c r="B40" s="22">
        <v>43</v>
      </c>
      <c r="C40" s="21">
        <v>3354.58</v>
      </c>
      <c r="D40" s="23">
        <v>45305</v>
      </c>
    </row>
    <row r="41" spans="1:4" x14ac:dyDescent="0.25">
      <c r="A41" s="14" t="s">
        <v>138</v>
      </c>
      <c r="B41" s="22">
        <v>38</v>
      </c>
      <c r="C41" s="21">
        <v>3563.17</v>
      </c>
      <c r="D41" s="23">
        <v>45491</v>
      </c>
    </row>
    <row r="42" spans="1:4" x14ac:dyDescent="0.25">
      <c r="A42" s="14" t="s">
        <v>139</v>
      </c>
      <c r="B42" s="22">
        <v>82</v>
      </c>
      <c r="C42" s="21">
        <v>2889.21</v>
      </c>
      <c r="D42" s="23">
        <v>45369</v>
      </c>
    </row>
    <row r="43" spans="1:4" x14ac:dyDescent="0.25">
      <c r="A43" s="14" t="s">
        <v>140</v>
      </c>
      <c r="B43" s="22">
        <v>31</v>
      </c>
      <c r="C43" s="21">
        <v>2515.02</v>
      </c>
      <c r="D43" s="23">
        <v>45319</v>
      </c>
    </row>
    <row r="44" spans="1:4" x14ac:dyDescent="0.25">
      <c r="A44" s="14" t="s">
        <v>141</v>
      </c>
      <c r="B44" s="22">
        <v>89</v>
      </c>
      <c r="C44" s="21">
        <v>2988.02</v>
      </c>
      <c r="D44" s="23">
        <v>45336</v>
      </c>
    </row>
    <row r="45" spans="1:4" x14ac:dyDescent="0.25">
      <c r="A45" s="14" t="s">
        <v>142</v>
      </c>
      <c r="B45" s="22">
        <v>73</v>
      </c>
      <c r="C45" s="21">
        <v>3167.14</v>
      </c>
      <c r="D45" s="23">
        <v>45376</v>
      </c>
    </row>
    <row r="46" spans="1:4" x14ac:dyDescent="0.25">
      <c r="A46" s="14" t="s">
        <v>143</v>
      </c>
      <c r="B46" s="22">
        <v>37</v>
      </c>
      <c r="C46" s="21">
        <v>863.84</v>
      </c>
      <c r="D46" s="23">
        <v>45468</v>
      </c>
    </row>
    <row r="47" spans="1:4" x14ac:dyDescent="0.25">
      <c r="A47" s="14" t="s">
        <v>144</v>
      </c>
      <c r="B47" s="22">
        <v>76</v>
      </c>
      <c r="C47" s="21">
        <v>2163.4499999999998</v>
      </c>
      <c r="D47" s="23">
        <v>45476</v>
      </c>
    </row>
    <row r="48" spans="1:4" x14ac:dyDescent="0.25">
      <c r="A48" s="14" t="s">
        <v>145</v>
      </c>
      <c r="B48" s="22">
        <v>64</v>
      </c>
      <c r="C48" s="21">
        <v>1589.72</v>
      </c>
      <c r="D48" s="23">
        <v>45426</v>
      </c>
    </row>
    <row r="49" spans="1:4" x14ac:dyDescent="0.25">
      <c r="A49" s="14" t="s">
        <v>146</v>
      </c>
      <c r="B49" s="22">
        <v>65</v>
      </c>
      <c r="C49" s="21">
        <v>4114.13</v>
      </c>
      <c r="D49" s="23">
        <v>45344</v>
      </c>
    </row>
    <row r="50" spans="1:4" x14ac:dyDescent="0.25">
      <c r="A50" s="14" t="s">
        <v>147</v>
      </c>
      <c r="B50" s="22">
        <v>79</v>
      </c>
      <c r="C50" s="21">
        <v>2616.35</v>
      </c>
      <c r="D50" s="23">
        <v>45404</v>
      </c>
    </row>
    <row r="51" spans="1:4" x14ac:dyDescent="0.25">
      <c r="A51" s="14" t="s">
        <v>148</v>
      </c>
      <c r="B51" s="22">
        <v>33</v>
      </c>
      <c r="C51" s="21">
        <v>4925.3999999999996</v>
      </c>
      <c r="D51" s="23">
        <v>45301</v>
      </c>
    </row>
    <row r="52" spans="1:4" x14ac:dyDescent="0.25">
      <c r="A52" s="14" t="s">
        <v>149</v>
      </c>
      <c r="B52" s="22">
        <v>31</v>
      </c>
      <c r="C52" s="21">
        <v>2294.71</v>
      </c>
      <c r="D52" s="23">
        <v>45490</v>
      </c>
    </row>
    <row r="53" spans="1:4" x14ac:dyDescent="0.25">
      <c r="A53" s="14" t="s">
        <v>150</v>
      </c>
      <c r="B53" s="22">
        <v>35</v>
      </c>
      <c r="C53" s="21">
        <v>4173.9399999999996</v>
      </c>
      <c r="D53" s="23">
        <v>45341</v>
      </c>
    </row>
    <row r="54" spans="1:4" x14ac:dyDescent="0.25">
      <c r="A54" s="14" t="s">
        <v>151</v>
      </c>
      <c r="B54" s="22">
        <v>83</v>
      </c>
      <c r="C54" s="21">
        <v>4092.55</v>
      </c>
      <c r="D54" s="23">
        <v>45373</v>
      </c>
    </row>
    <row r="55" spans="1:4" x14ac:dyDescent="0.25">
      <c r="A55" s="14" t="s">
        <v>152</v>
      </c>
      <c r="B55" s="22">
        <v>33</v>
      </c>
      <c r="C55" s="21">
        <v>1178.23</v>
      </c>
      <c r="D55" s="23">
        <v>45488</v>
      </c>
    </row>
    <row r="56" spans="1:4" x14ac:dyDescent="0.25">
      <c r="A56" s="14" t="s">
        <v>153</v>
      </c>
      <c r="B56" s="22">
        <v>83</v>
      </c>
      <c r="C56" s="21">
        <v>2786.89</v>
      </c>
      <c r="D56" s="23">
        <v>45403</v>
      </c>
    </row>
    <row r="57" spans="1:4" x14ac:dyDescent="0.25">
      <c r="A57" s="14" t="s">
        <v>154</v>
      </c>
      <c r="B57" s="22">
        <v>92</v>
      </c>
      <c r="C57" s="21">
        <v>3631.16</v>
      </c>
      <c r="D57" s="23">
        <v>45322</v>
      </c>
    </row>
    <row r="58" spans="1:4" x14ac:dyDescent="0.25">
      <c r="A58" s="14" t="s">
        <v>155</v>
      </c>
      <c r="B58" s="22">
        <v>47</v>
      </c>
      <c r="C58" s="21">
        <v>4362.6099999999997</v>
      </c>
      <c r="D58" s="23">
        <v>45393</v>
      </c>
    </row>
    <row r="59" spans="1:4" x14ac:dyDescent="0.25">
      <c r="A59" s="14" t="s">
        <v>156</v>
      </c>
      <c r="B59" s="22">
        <v>73</v>
      </c>
      <c r="C59" s="21">
        <v>1966.82</v>
      </c>
      <c r="D59" s="23">
        <v>45490</v>
      </c>
    </row>
    <row r="60" spans="1:4" x14ac:dyDescent="0.25">
      <c r="A60" s="14" t="s">
        <v>157</v>
      </c>
      <c r="B60" s="22">
        <v>63</v>
      </c>
      <c r="C60" s="21">
        <v>1491.08</v>
      </c>
      <c r="D60" s="23">
        <v>45420</v>
      </c>
    </row>
    <row r="61" spans="1:4" x14ac:dyDescent="0.25">
      <c r="A61" s="14" t="s">
        <v>158</v>
      </c>
      <c r="B61" s="22">
        <v>91</v>
      </c>
      <c r="C61" s="21">
        <v>3700.17</v>
      </c>
      <c r="D61" s="23">
        <v>45452</v>
      </c>
    </row>
    <row r="62" spans="1:4" x14ac:dyDescent="0.25">
      <c r="A62" s="14" t="s">
        <v>159</v>
      </c>
      <c r="B62" s="22">
        <v>43</v>
      </c>
      <c r="C62" s="21">
        <v>4142.75</v>
      </c>
      <c r="D62" s="23">
        <v>45422</v>
      </c>
    </row>
    <row r="63" spans="1:4" x14ac:dyDescent="0.25">
      <c r="A63" s="14" t="s">
        <v>160</v>
      </c>
      <c r="B63" s="22">
        <v>77</v>
      </c>
      <c r="C63" s="21">
        <v>2069</v>
      </c>
      <c r="D63" s="23">
        <v>45469</v>
      </c>
    </row>
    <row r="64" spans="1:4" x14ac:dyDescent="0.25">
      <c r="A64" s="14" t="s">
        <v>161</v>
      </c>
      <c r="B64" s="22">
        <v>44</v>
      </c>
      <c r="C64" s="21">
        <v>932.79</v>
      </c>
      <c r="D64" s="23">
        <v>45324</v>
      </c>
    </row>
    <row r="65" spans="1:4" x14ac:dyDescent="0.25">
      <c r="A65" s="14" t="s">
        <v>162</v>
      </c>
      <c r="B65" s="22">
        <v>91</v>
      </c>
      <c r="C65" s="21">
        <v>4732.3500000000004</v>
      </c>
      <c r="D65" s="23">
        <v>45393</v>
      </c>
    </row>
    <row r="66" spans="1:4" x14ac:dyDescent="0.25">
      <c r="A66" s="14" t="s">
        <v>163</v>
      </c>
      <c r="B66" s="22">
        <v>69</v>
      </c>
      <c r="C66" s="21">
        <v>2289.0700000000002</v>
      </c>
      <c r="D66" s="23">
        <v>45407</v>
      </c>
    </row>
    <row r="67" spans="1:4" x14ac:dyDescent="0.25">
      <c r="A67" s="14" t="s">
        <v>164</v>
      </c>
      <c r="B67" s="22">
        <v>82</v>
      </c>
      <c r="C67" s="21">
        <v>2829.88</v>
      </c>
      <c r="D67" s="23">
        <v>45394</v>
      </c>
    </row>
    <row r="68" spans="1:4" x14ac:dyDescent="0.25">
      <c r="A68" s="14" t="s">
        <v>165</v>
      </c>
      <c r="B68" s="22">
        <v>53</v>
      </c>
      <c r="C68" s="21">
        <v>4269.7</v>
      </c>
      <c r="D68" s="23">
        <v>45447</v>
      </c>
    </row>
    <row r="69" spans="1:4" x14ac:dyDescent="0.25">
      <c r="A69" s="14" t="s">
        <v>166</v>
      </c>
      <c r="B69" s="22">
        <v>55</v>
      </c>
      <c r="C69" s="21">
        <v>3540.61</v>
      </c>
      <c r="D69" s="23">
        <v>45307</v>
      </c>
    </row>
    <row r="70" spans="1:4" x14ac:dyDescent="0.25">
      <c r="A70" s="14" t="s">
        <v>167</v>
      </c>
      <c r="B70" s="22">
        <v>89</v>
      </c>
      <c r="C70" s="21">
        <v>3808.47</v>
      </c>
      <c r="D70" s="23">
        <v>45349</v>
      </c>
    </row>
    <row r="71" spans="1:4" x14ac:dyDescent="0.25">
      <c r="A71" s="14" t="s">
        <v>168</v>
      </c>
      <c r="B71" s="22">
        <v>70</v>
      </c>
      <c r="C71" s="21">
        <v>1440.82</v>
      </c>
      <c r="D71" s="23">
        <v>45464</v>
      </c>
    </row>
    <row r="72" spans="1:4" x14ac:dyDescent="0.25">
      <c r="A72" s="14" t="s">
        <v>169</v>
      </c>
      <c r="B72" s="22">
        <v>58</v>
      </c>
      <c r="C72" s="21">
        <v>2936.52</v>
      </c>
      <c r="D72" s="23">
        <v>45384</v>
      </c>
    </row>
    <row r="73" spans="1:4" x14ac:dyDescent="0.25">
      <c r="A73" s="14" t="s">
        <v>170</v>
      </c>
      <c r="B73" s="22">
        <v>44</v>
      </c>
      <c r="C73" s="21">
        <v>3631.03</v>
      </c>
      <c r="D73" s="23">
        <v>45471</v>
      </c>
    </row>
    <row r="74" spans="1:4" x14ac:dyDescent="0.25">
      <c r="A74" s="14" t="s">
        <v>171</v>
      </c>
      <c r="B74" s="22">
        <v>74</v>
      </c>
      <c r="C74" s="21">
        <v>1528.48</v>
      </c>
      <c r="D74" s="23">
        <v>45382</v>
      </c>
    </row>
    <row r="75" spans="1:4" x14ac:dyDescent="0.25">
      <c r="A75" s="14" t="s">
        <v>172</v>
      </c>
      <c r="B75" s="22">
        <v>94</v>
      </c>
      <c r="C75" s="21">
        <v>1287.3</v>
      </c>
      <c r="D75" s="23">
        <v>45447</v>
      </c>
    </row>
    <row r="76" spans="1:4" x14ac:dyDescent="0.25">
      <c r="A76" s="14" t="s">
        <v>173</v>
      </c>
      <c r="B76" s="22">
        <v>38</v>
      </c>
      <c r="C76" s="21">
        <v>4919.76</v>
      </c>
      <c r="D76" s="23">
        <v>45377</v>
      </c>
    </row>
    <row r="77" spans="1:4" x14ac:dyDescent="0.25">
      <c r="A77" s="14" t="s">
        <v>174</v>
      </c>
      <c r="B77" s="22">
        <v>30</v>
      </c>
      <c r="C77" s="21">
        <v>2824.86</v>
      </c>
      <c r="D77" s="23">
        <v>45370</v>
      </c>
    </row>
    <row r="78" spans="1:4" x14ac:dyDescent="0.25">
      <c r="A78" s="14" t="s">
        <v>175</v>
      </c>
      <c r="B78" s="22">
        <v>37</v>
      </c>
      <c r="C78" s="21">
        <v>1673.73</v>
      </c>
      <c r="D78" s="23">
        <v>45451</v>
      </c>
    </row>
    <row r="79" spans="1:4" x14ac:dyDescent="0.25">
      <c r="A79" s="14" t="s">
        <v>176</v>
      </c>
      <c r="B79" s="22">
        <v>92</v>
      </c>
      <c r="C79" s="21">
        <v>4983.1400000000003</v>
      </c>
      <c r="D79" s="23">
        <v>45371</v>
      </c>
    </row>
    <row r="80" spans="1:4" x14ac:dyDescent="0.25">
      <c r="A80" s="14" t="s">
        <v>177</v>
      </c>
      <c r="B80" s="22">
        <v>40</v>
      </c>
      <c r="C80" s="21">
        <v>4844.3900000000003</v>
      </c>
      <c r="D80" s="23">
        <v>45411</v>
      </c>
    </row>
    <row r="81" spans="1:4" x14ac:dyDescent="0.25">
      <c r="A81" s="14" t="s">
        <v>178</v>
      </c>
      <c r="B81" s="22">
        <v>37</v>
      </c>
      <c r="C81" s="21">
        <v>3012.32</v>
      </c>
      <c r="D81" s="23">
        <v>45491</v>
      </c>
    </row>
    <row r="82" spans="1:4" x14ac:dyDescent="0.25">
      <c r="A82" s="14" t="s">
        <v>179</v>
      </c>
      <c r="B82" s="22">
        <v>64</v>
      </c>
      <c r="C82" s="21">
        <v>4471.8599999999997</v>
      </c>
      <c r="D82" s="23">
        <v>45411</v>
      </c>
    </row>
    <row r="83" spans="1:4" x14ac:dyDescent="0.25">
      <c r="A83" s="14" t="s">
        <v>180</v>
      </c>
      <c r="B83" s="22">
        <v>64</v>
      </c>
      <c r="C83" s="21">
        <v>1349.18</v>
      </c>
      <c r="D83" s="23">
        <v>45314</v>
      </c>
    </row>
    <row r="84" spans="1:4" x14ac:dyDescent="0.25">
      <c r="A84" s="14" t="s">
        <v>181</v>
      </c>
      <c r="B84" s="22">
        <v>62</v>
      </c>
      <c r="C84" s="21">
        <v>1754.92</v>
      </c>
      <c r="D84" s="23">
        <v>45415</v>
      </c>
    </row>
    <row r="85" spans="1:4" x14ac:dyDescent="0.25">
      <c r="A85" s="14" t="s">
        <v>182</v>
      </c>
      <c r="B85" s="22">
        <v>34</v>
      </c>
      <c r="C85" s="21">
        <v>3651.61</v>
      </c>
      <c r="D85" s="23">
        <v>45405</v>
      </c>
    </row>
    <row r="86" spans="1:4" x14ac:dyDescent="0.25">
      <c r="A86" s="14" t="s">
        <v>183</v>
      </c>
      <c r="B86" s="22">
        <v>70</v>
      </c>
      <c r="C86" s="21">
        <v>4309.9799999999996</v>
      </c>
      <c r="D86" s="23">
        <v>45448</v>
      </c>
    </row>
    <row r="87" spans="1:4" x14ac:dyDescent="0.25">
      <c r="A87" s="14" t="s">
        <v>184</v>
      </c>
      <c r="B87" s="22">
        <v>57</v>
      </c>
      <c r="C87" s="21">
        <v>4353.46</v>
      </c>
      <c r="D87" s="23">
        <v>45335</v>
      </c>
    </row>
    <row r="88" spans="1:4" x14ac:dyDescent="0.25">
      <c r="A88" s="14" t="s">
        <v>185</v>
      </c>
      <c r="B88" s="22">
        <v>36</v>
      </c>
      <c r="C88" s="21">
        <v>2320.29</v>
      </c>
      <c r="D88" s="23">
        <v>45333</v>
      </c>
    </row>
    <row r="89" spans="1:4" x14ac:dyDescent="0.25">
      <c r="A89" s="14" t="s">
        <v>186</v>
      </c>
      <c r="B89" s="22">
        <v>41</v>
      </c>
      <c r="C89" s="21">
        <v>4494.97</v>
      </c>
      <c r="D89" s="23">
        <v>45338</v>
      </c>
    </row>
    <row r="90" spans="1:4" x14ac:dyDescent="0.25">
      <c r="A90" s="14" t="s">
        <v>187</v>
      </c>
      <c r="B90" s="22">
        <v>63</v>
      </c>
      <c r="C90" s="21">
        <v>4329.18</v>
      </c>
      <c r="D90" s="23">
        <v>45421</v>
      </c>
    </row>
    <row r="91" spans="1:4" x14ac:dyDescent="0.25">
      <c r="A91" s="14" t="s">
        <v>188</v>
      </c>
      <c r="B91" s="22">
        <v>62</v>
      </c>
      <c r="C91" s="21">
        <v>4710.3599999999997</v>
      </c>
      <c r="D91" s="23">
        <v>45414</v>
      </c>
    </row>
    <row r="92" spans="1:4" x14ac:dyDescent="0.25">
      <c r="A92" s="14" t="s">
        <v>189</v>
      </c>
      <c r="B92" s="22">
        <v>77</v>
      </c>
      <c r="C92" s="21">
        <v>4034.03</v>
      </c>
      <c r="D92" s="23">
        <v>45416</v>
      </c>
    </row>
    <row r="93" spans="1:4" x14ac:dyDescent="0.25">
      <c r="A93" s="14" t="s">
        <v>190</v>
      </c>
      <c r="B93" s="22">
        <v>52</v>
      </c>
      <c r="C93" s="21">
        <v>3510.45</v>
      </c>
      <c r="D93" s="23">
        <v>45409</v>
      </c>
    </row>
    <row r="94" spans="1:4" x14ac:dyDescent="0.25">
      <c r="A94" s="14" t="s">
        <v>191</v>
      </c>
      <c r="B94" s="22">
        <v>91</v>
      </c>
      <c r="C94" s="21">
        <v>3113.09</v>
      </c>
      <c r="D94" s="23">
        <v>45438</v>
      </c>
    </row>
    <row r="95" spans="1:4" x14ac:dyDescent="0.25">
      <c r="A95" s="14" t="s">
        <v>192</v>
      </c>
      <c r="B95" s="22">
        <v>66</v>
      </c>
      <c r="C95" s="21">
        <v>2175.27</v>
      </c>
      <c r="D95" s="23">
        <v>45444</v>
      </c>
    </row>
    <row r="96" spans="1:4" x14ac:dyDescent="0.25">
      <c r="A96" s="14" t="s">
        <v>193</v>
      </c>
      <c r="B96" s="22">
        <v>73</v>
      </c>
      <c r="C96" s="21">
        <v>4730.6000000000004</v>
      </c>
      <c r="D96" s="23">
        <v>45296</v>
      </c>
    </row>
    <row r="97" spans="1:4" x14ac:dyDescent="0.25">
      <c r="A97" s="14" t="s">
        <v>194</v>
      </c>
      <c r="B97" s="22">
        <v>64</v>
      </c>
      <c r="C97" s="21">
        <v>4881.49</v>
      </c>
      <c r="D97" s="23">
        <v>45436</v>
      </c>
    </row>
    <row r="98" spans="1:4" x14ac:dyDescent="0.25">
      <c r="A98" s="14" t="s">
        <v>195</v>
      </c>
      <c r="B98" s="22">
        <v>94</v>
      </c>
      <c r="C98" s="21">
        <v>1777.64</v>
      </c>
      <c r="D98" s="23">
        <v>45464</v>
      </c>
    </row>
    <row r="99" spans="1:4" x14ac:dyDescent="0.25">
      <c r="A99" s="14" t="s">
        <v>196</v>
      </c>
      <c r="B99" s="22">
        <v>76</v>
      </c>
      <c r="C99" s="21">
        <v>1874.14</v>
      </c>
      <c r="D99" s="23">
        <v>45366</v>
      </c>
    </row>
    <row r="100" spans="1:4" x14ac:dyDescent="0.25">
      <c r="A100" s="14" t="s">
        <v>197</v>
      </c>
      <c r="B100" s="22">
        <v>32</v>
      </c>
      <c r="C100" s="21">
        <v>2685.26</v>
      </c>
      <c r="D100" s="23">
        <v>45372</v>
      </c>
    </row>
    <row r="101" spans="1:4" x14ac:dyDescent="0.25">
      <c r="A101" s="14" t="s">
        <v>198</v>
      </c>
      <c r="B101" s="22">
        <v>30</v>
      </c>
      <c r="C101" s="21">
        <v>2517.91</v>
      </c>
      <c r="D101" s="23">
        <v>45430</v>
      </c>
    </row>
    <row r="102" spans="1:4" x14ac:dyDescent="0.25">
      <c r="A102" s="14" t="s">
        <v>199</v>
      </c>
      <c r="B102" s="22">
        <v>34</v>
      </c>
      <c r="C102" s="21">
        <v>4975.0600000000004</v>
      </c>
      <c r="D102" s="23">
        <v>45331</v>
      </c>
    </row>
    <row r="103" spans="1:4" x14ac:dyDescent="0.25">
      <c r="A103" s="14" t="s">
        <v>200</v>
      </c>
      <c r="B103" s="22">
        <v>43</v>
      </c>
      <c r="C103" s="21">
        <v>1291.6600000000001</v>
      </c>
      <c r="D103" s="23">
        <v>45488</v>
      </c>
    </row>
    <row r="104" spans="1:4" x14ac:dyDescent="0.25">
      <c r="A104" s="14" t="s">
        <v>201</v>
      </c>
      <c r="B104" s="22">
        <v>56</v>
      </c>
      <c r="C104" s="21">
        <v>581.34</v>
      </c>
      <c r="D104" s="23">
        <v>45409</v>
      </c>
    </row>
    <row r="105" spans="1:4" x14ac:dyDescent="0.25">
      <c r="A105" s="14" t="s">
        <v>202</v>
      </c>
      <c r="B105" s="22">
        <v>38</v>
      </c>
      <c r="C105" s="21">
        <v>2722.52</v>
      </c>
      <c r="D105" s="23">
        <v>45450</v>
      </c>
    </row>
    <row r="106" spans="1:4" x14ac:dyDescent="0.25">
      <c r="A106" s="14" t="s">
        <v>203</v>
      </c>
      <c r="B106" s="22">
        <v>44</v>
      </c>
      <c r="C106" s="21">
        <v>1304.7</v>
      </c>
      <c r="D106" s="23">
        <v>45467</v>
      </c>
    </row>
    <row r="107" spans="1:4" x14ac:dyDescent="0.25">
      <c r="A107" s="14" t="s">
        <v>204</v>
      </c>
      <c r="B107" s="22">
        <v>71</v>
      </c>
      <c r="C107" s="21">
        <v>2149.11</v>
      </c>
      <c r="D107" s="23">
        <v>45434</v>
      </c>
    </row>
    <row r="108" spans="1:4" x14ac:dyDescent="0.25">
      <c r="A108" s="14" t="s">
        <v>205</v>
      </c>
      <c r="B108" s="22">
        <v>80</v>
      </c>
      <c r="C108" s="21">
        <v>3848.77</v>
      </c>
      <c r="D108" s="23">
        <v>45332</v>
      </c>
    </row>
    <row r="109" spans="1:4" x14ac:dyDescent="0.25">
      <c r="A109" s="14" t="s">
        <v>206</v>
      </c>
      <c r="B109" s="22">
        <v>92</v>
      </c>
      <c r="C109" s="21">
        <v>3744.23</v>
      </c>
      <c r="D109" s="23">
        <v>45369</v>
      </c>
    </row>
    <row r="110" spans="1:4" x14ac:dyDescent="0.25">
      <c r="A110" s="14" t="s">
        <v>207</v>
      </c>
      <c r="B110" s="22">
        <v>81</v>
      </c>
      <c r="C110" s="21">
        <v>1886.27</v>
      </c>
      <c r="D110" s="23">
        <v>45350</v>
      </c>
    </row>
    <row r="111" spans="1:4" x14ac:dyDescent="0.25">
      <c r="A111" s="14" t="s">
        <v>208</v>
      </c>
      <c r="B111" s="22">
        <v>33</v>
      </c>
      <c r="C111" s="21">
        <v>2941.43</v>
      </c>
      <c r="D111" s="23">
        <v>45476</v>
      </c>
    </row>
    <row r="112" spans="1:4" x14ac:dyDescent="0.25">
      <c r="A112" s="14" t="s">
        <v>209</v>
      </c>
      <c r="B112" s="22">
        <v>52</v>
      </c>
      <c r="C112" s="21">
        <v>2789.66</v>
      </c>
      <c r="D112" s="23">
        <v>45492</v>
      </c>
    </row>
    <row r="113" spans="1:4" x14ac:dyDescent="0.25">
      <c r="A113" s="14" t="s">
        <v>210</v>
      </c>
      <c r="B113" s="22">
        <v>44</v>
      </c>
      <c r="C113" s="21">
        <v>3363.5</v>
      </c>
      <c r="D113" s="23">
        <v>45321</v>
      </c>
    </row>
    <row r="114" spans="1:4" x14ac:dyDescent="0.25">
      <c r="A114" s="14" t="s">
        <v>211</v>
      </c>
      <c r="B114" s="22">
        <v>72</v>
      </c>
      <c r="C114" s="21">
        <v>1627.08</v>
      </c>
      <c r="D114" s="23">
        <v>45303</v>
      </c>
    </row>
    <row r="115" spans="1:4" x14ac:dyDescent="0.25">
      <c r="A115" s="14" t="s">
        <v>212</v>
      </c>
      <c r="B115" s="22">
        <v>58</v>
      </c>
      <c r="C115" s="21">
        <v>3154.42</v>
      </c>
      <c r="D115" s="23">
        <v>45465</v>
      </c>
    </row>
    <row r="116" spans="1:4" x14ac:dyDescent="0.25">
      <c r="A116" s="14" t="s">
        <v>213</v>
      </c>
      <c r="B116" s="22">
        <v>65</v>
      </c>
      <c r="C116" s="21">
        <v>4905.0200000000004</v>
      </c>
      <c r="D116" s="23">
        <v>45389</v>
      </c>
    </row>
    <row r="117" spans="1:4" x14ac:dyDescent="0.25">
      <c r="A117" s="14" t="s">
        <v>214</v>
      </c>
      <c r="B117" s="22">
        <v>42</v>
      </c>
      <c r="C117" s="21">
        <v>2690.34</v>
      </c>
      <c r="D117" s="23">
        <v>45366</v>
      </c>
    </row>
    <row r="118" spans="1:4" x14ac:dyDescent="0.25">
      <c r="A118" s="14" t="s">
        <v>215</v>
      </c>
      <c r="B118" s="22">
        <v>61</v>
      </c>
      <c r="C118" s="21">
        <v>4577.4399999999996</v>
      </c>
      <c r="D118" s="23">
        <v>45369</v>
      </c>
    </row>
    <row r="119" spans="1:4" x14ac:dyDescent="0.25">
      <c r="A119" s="14" t="s">
        <v>216</v>
      </c>
      <c r="B119" s="22">
        <v>88</v>
      </c>
      <c r="C119" s="21">
        <v>2454.77</v>
      </c>
      <c r="D119" s="23">
        <v>45397</v>
      </c>
    </row>
    <row r="120" spans="1:4" x14ac:dyDescent="0.25">
      <c r="A120" s="14" t="s">
        <v>217</v>
      </c>
      <c r="B120" s="22">
        <v>57</v>
      </c>
      <c r="C120" s="21">
        <v>2075.35</v>
      </c>
      <c r="D120" s="23">
        <v>45469</v>
      </c>
    </row>
    <row r="121" spans="1:4" x14ac:dyDescent="0.25">
      <c r="A121" s="14" t="s">
        <v>218</v>
      </c>
      <c r="B121" s="22">
        <v>95</v>
      </c>
      <c r="C121" s="21">
        <v>3402.97</v>
      </c>
      <c r="D121" s="23">
        <v>45413</v>
      </c>
    </row>
    <row r="122" spans="1:4" x14ac:dyDescent="0.25">
      <c r="A122" s="14" t="e" cm="1">
        <f t="array" ref="A122">coun</f>
        <v>#NAME?</v>
      </c>
      <c r="B122" s="22">
        <f>SUM(B2:B121)</f>
        <v>7486</v>
      </c>
      <c r="C122" s="21">
        <f>SUM(C2:C121)</f>
        <v>336960.56000000006</v>
      </c>
    </row>
  </sheetData>
  <conditionalFormatting sqref="B1:B1048576">
    <cfRule type="cellIs" dxfId="5" priority="1" operator="greaterThan">
      <formula>90</formula>
    </cfRule>
    <cfRule type="cellIs" dxfId="4" priority="2" operator="lessThan">
      <formula>40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CFF6-1F1C-45D8-B48F-5C94AFB1048F}">
  <dimension ref="A1:T106"/>
  <sheetViews>
    <sheetView tabSelected="1" topLeftCell="A82" workbookViewId="0">
      <selection activeCell="C108" sqref="C108"/>
    </sheetView>
  </sheetViews>
  <sheetFormatPr defaultRowHeight="15" x14ac:dyDescent="0.25"/>
  <cols>
    <col min="1" max="1" width="8.5703125" bestFit="1" customWidth="1"/>
    <col min="3" max="3" width="18.42578125" bestFit="1" customWidth="1"/>
    <col min="4" max="4" width="15" customWidth="1"/>
    <col min="5" max="5" width="19.140625" customWidth="1"/>
    <col min="6" max="6" width="20.28515625" customWidth="1"/>
    <col min="7" max="7" width="16" customWidth="1"/>
    <col min="8" max="8" width="17.7109375" bestFit="1" customWidth="1"/>
    <col min="9" max="9" width="15.7109375" customWidth="1"/>
    <col min="10" max="10" width="20.85546875" bestFit="1" customWidth="1"/>
    <col min="11" max="11" width="11.85546875" customWidth="1"/>
    <col min="12" max="12" width="15.28515625" bestFit="1" customWidth="1"/>
    <col min="15" max="15" width="15.42578125" bestFit="1" customWidth="1"/>
    <col min="17" max="17" width="10.5703125" bestFit="1" customWidth="1"/>
    <col min="19" max="19" width="14.28515625" style="34" bestFit="1" customWidth="1"/>
  </cols>
  <sheetData>
    <row r="1" spans="1:19" x14ac:dyDescent="0.25">
      <c r="A1" s="30" t="s">
        <v>15</v>
      </c>
      <c r="B1" s="30"/>
      <c r="C1" s="30"/>
      <c r="D1" s="30"/>
      <c r="E1" s="30"/>
    </row>
    <row r="2" spans="1:19" x14ac:dyDescent="0.25">
      <c r="A2" s="4" t="s">
        <v>0</v>
      </c>
      <c r="B2" s="4" t="s">
        <v>1</v>
      </c>
      <c r="C2" s="4" t="s">
        <v>3</v>
      </c>
      <c r="D2" s="4" t="s">
        <v>2</v>
      </c>
      <c r="E2" s="4" t="s">
        <v>14</v>
      </c>
    </row>
    <row r="3" spans="1:19" ht="45.75" customHeight="1" x14ac:dyDescent="0.25">
      <c r="A3" s="1" t="s">
        <v>21</v>
      </c>
      <c r="B3" s="2" t="s">
        <v>4</v>
      </c>
      <c r="C3" s="2" t="s">
        <v>8</v>
      </c>
      <c r="D3" s="2">
        <v>86</v>
      </c>
      <c r="E3" s="2">
        <v>45</v>
      </c>
      <c r="I3" s="31" t="s">
        <v>32</v>
      </c>
      <c r="J3" s="31"/>
    </row>
    <row r="4" spans="1:19" ht="30" x14ac:dyDescent="0.25">
      <c r="A4" s="1" t="s">
        <v>16</v>
      </c>
      <c r="B4" s="2" t="s">
        <v>5</v>
      </c>
      <c r="C4" s="2" t="s">
        <v>9</v>
      </c>
      <c r="D4" s="2">
        <v>76</v>
      </c>
      <c r="E4" s="2">
        <v>40</v>
      </c>
      <c r="I4" s="13" t="s">
        <v>31</v>
      </c>
      <c r="J4" t="s">
        <v>22</v>
      </c>
    </row>
    <row r="5" spans="1:19" ht="30" x14ac:dyDescent="0.25">
      <c r="A5" s="1" t="s">
        <v>17</v>
      </c>
      <c r="B5" s="2" t="s">
        <v>6</v>
      </c>
      <c r="C5" s="2" t="s">
        <v>10</v>
      </c>
      <c r="D5" s="2">
        <v>65</v>
      </c>
      <c r="E5" s="2">
        <v>43</v>
      </c>
      <c r="I5" s="13" t="s">
        <v>23</v>
      </c>
      <c r="J5" s="5">
        <v>45</v>
      </c>
      <c r="O5" t="s">
        <v>15</v>
      </c>
    </row>
    <row r="6" spans="1:19" ht="30" x14ac:dyDescent="0.25">
      <c r="A6" s="1" t="s">
        <v>18</v>
      </c>
      <c r="B6" s="2" t="s">
        <v>7</v>
      </c>
      <c r="C6" s="2" t="s">
        <v>11</v>
      </c>
      <c r="D6" s="2">
        <v>88</v>
      </c>
      <c r="E6" s="2">
        <v>35</v>
      </c>
      <c r="I6" s="13" t="s">
        <v>24</v>
      </c>
      <c r="J6" s="6">
        <v>45.55</v>
      </c>
      <c r="O6" t="s">
        <v>0</v>
      </c>
      <c r="P6" t="s">
        <v>1</v>
      </c>
      <c r="Q6" t="s">
        <v>3</v>
      </c>
      <c r="R6" t="s">
        <v>2</v>
      </c>
      <c r="S6" s="34" t="s">
        <v>14</v>
      </c>
    </row>
    <row r="7" spans="1:19" ht="30" x14ac:dyDescent="0.25">
      <c r="A7" s="1" t="s">
        <v>19</v>
      </c>
      <c r="B7" s="2" t="s">
        <v>4</v>
      </c>
      <c r="C7" s="2" t="s">
        <v>12</v>
      </c>
      <c r="D7" s="2">
        <v>75</v>
      </c>
      <c r="E7" s="2">
        <v>30</v>
      </c>
      <c r="I7" s="13" t="s">
        <v>25</v>
      </c>
      <c r="J7" s="7">
        <f>95/100</f>
        <v>0.95</v>
      </c>
      <c r="O7" t="s">
        <v>21</v>
      </c>
      <c r="P7" t="s">
        <v>4</v>
      </c>
      <c r="Q7" t="s">
        <v>8</v>
      </c>
      <c r="R7">
        <v>86</v>
      </c>
      <c r="S7" s="34">
        <v>45</v>
      </c>
    </row>
    <row r="8" spans="1:19" ht="30" x14ac:dyDescent="0.25">
      <c r="A8" s="1" t="s">
        <v>20</v>
      </c>
      <c r="B8" s="2" t="s">
        <v>5</v>
      </c>
      <c r="C8" s="2" t="s">
        <v>13</v>
      </c>
      <c r="D8" s="2">
        <v>63</v>
      </c>
      <c r="E8" s="2">
        <v>38</v>
      </c>
      <c r="I8" s="13" t="s">
        <v>26</v>
      </c>
      <c r="J8" s="8">
        <v>95.5</v>
      </c>
      <c r="O8" t="s">
        <v>16</v>
      </c>
      <c r="P8" t="s">
        <v>5</v>
      </c>
      <c r="Q8" t="s">
        <v>9</v>
      </c>
      <c r="R8">
        <v>76</v>
      </c>
      <c r="S8" s="34">
        <v>40</v>
      </c>
    </row>
    <row r="9" spans="1:19" x14ac:dyDescent="0.25">
      <c r="A9" s="3"/>
      <c r="B9" s="3"/>
      <c r="C9" s="3"/>
      <c r="D9" s="2">
        <f>SUM(D3,D8)</f>
        <v>149</v>
      </c>
      <c r="E9" s="2">
        <f>SUM(E3:E8)</f>
        <v>231</v>
      </c>
      <c r="I9" s="13" t="s">
        <v>27</v>
      </c>
      <c r="J9" s="9">
        <v>46024</v>
      </c>
      <c r="O9" t="s">
        <v>17</v>
      </c>
      <c r="P9" t="s">
        <v>6</v>
      </c>
      <c r="Q9" t="s">
        <v>10</v>
      </c>
      <c r="R9">
        <v>65</v>
      </c>
      <c r="S9" s="34">
        <v>43</v>
      </c>
    </row>
    <row r="10" spans="1:19" x14ac:dyDescent="0.25">
      <c r="A10" s="3"/>
      <c r="B10" s="3"/>
      <c r="C10" s="3"/>
      <c r="D10" s="2">
        <f>AVERAGE(D3:D8)</f>
        <v>75.5</v>
      </c>
      <c r="E10" s="2">
        <f>AVERAGE(E3:E8)</f>
        <v>38.5</v>
      </c>
      <c r="I10" s="13" t="s">
        <v>28</v>
      </c>
      <c r="J10" s="10">
        <v>46024</v>
      </c>
      <c r="O10" t="s">
        <v>18</v>
      </c>
      <c r="P10" t="s">
        <v>7</v>
      </c>
      <c r="Q10" t="s">
        <v>11</v>
      </c>
      <c r="R10">
        <v>88</v>
      </c>
      <c r="S10" s="34">
        <v>35</v>
      </c>
    </row>
    <row r="11" spans="1:19" x14ac:dyDescent="0.25">
      <c r="I11" s="13" t="s">
        <v>29</v>
      </c>
      <c r="J11" s="11">
        <v>45</v>
      </c>
      <c r="O11" t="s">
        <v>19</v>
      </c>
      <c r="P11" t="s">
        <v>4</v>
      </c>
      <c r="Q11" t="s">
        <v>12</v>
      </c>
      <c r="R11">
        <v>75</v>
      </c>
      <c r="S11" s="34">
        <v>30</v>
      </c>
    </row>
    <row r="12" spans="1:19" x14ac:dyDescent="0.25">
      <c r="I12" s="13" t="s">
        <v>30</v>
      </c>
      <c r="J12" s="12">
        <v>13213</v>
      </c>
      <c r="O12" t="s">
        <v>20</v>
      </c>
      <c r="P12" t="s">
        <v>5</v>
      </c>
      <c r="Q12" t="s">
        <v>13</v>
      </c>
      <c r="R12">
        <v>63</v>
      </c>
      <c r="S12" s="34">
        <v>38</v>
      </c>
    </row>
    <row r="13" spans="1:19" x14ac:dyDescent="0.25">
      <c r="R13">
        <f>SUM(R7,R12)</f>
        <v>149</v>
      </c>
      <c r="S13" s="34">
        <f>SUM(S7:S12)</f>
        <v>231</v>
      </c>
    </row>
    <row r="14" spans="1:19" x14ac:dyDescent="0.25">
      <c r="A14" s="15" t="s">
        <v>33</v>
      </c>
      <c r="B14" s="15" t="s">
        <v>34</v>
      </c>
      <c r="C14" s="15" t="s">
        <v>3</v>
      </c>
      <c r="R14">
        <f>AVERAGE(R7:R12)</f>
        <v>75.5</v>
      </c>
      <c r="S14" s="34">
        <f>AVERAGE(S7:S12)</f>
        <v>38.5</v>
      </c>
    </row>
    <row r="15" spans="1:19" x14ac:dyDescent="0.25">
      <c r="A15" t="s">
        <v>35</v>
      </c>
      <c r="B15">
        <v>10</v>
      </c>
      <c r="C15" t="s">
        <v>42</v>
      </c>
      <c r="E15" t="s">
        <v>33</v>
      </c>
      <c r="F15" t="s">
        <v>34</v>
      </c>
      <c r="G15" t="s">
        <v>3</v>
      </c>
    </row>
    <row r="16" spans="1:19" x14ac:dyDescent="0.25">
      <c r="A16" t="s">
        <v>36</v>
      </c>
      <c r="B16">
        <v>12</v>
      </c>
      <c r="C16" t="s">
        <v>43</v>
      </c>
      <c r="E16" t="s">
        <v>35</v>
      </c>
      <c r="F16">
        <v>10</v>
      </c>
      <c r="G16" t="s">
        <v>42</v>
      </c>
    </row>
    <row r="17" spans="1:17" x14ac:dyDescent="0.25">
      <c r="A17" t="s">
        <v>37</v>
      </c>
      <c r="B17">
        <v>8</v>
      </c>
      <c r="C17" t="s">
        <v>44</v>
      </c>
      <c r="E17" t="s">
        <v>36</v>
      </c>
      <c r="F17">
        <v>12</v>
      </c>
      <c r="G17" t="s">
        <v>43</v>
      </c>
    </row>
    <row r="18" spans="1:17" x14ac:dyDescent="0.25">
      <c r="A18" t="s">
        <v>38</v>
      </c>
      <c r="B18">
        <v>9</v>
      </c>
      <c r="C18" t="s">
        <v>45</v>
      </c>
      <c r="E18" t="s">
        <v>37</v>
      </c>
      <c r="F18">
        <v>8</v>
      </c>
      <c r="G18" t="s">
        <v>44</v>
      </c>
    </row>
    <row r="19" spans="1:17" x14ac:dyDescent="0.25">
      <c r="A19" t="s">
        <v>39</v>
      </c>
      <c r="B19">
        <v>10</v>
      </c>
      <c r="C19" t="s">
        <v>46</v>
      </c>
      <c r="E19" t="s">
        <v>38</v>
      </c>
      <c r="F19">
        <v>9</v>
      </c>
      <c r="G19" t="s">
        <v>45</v>
      </c>
    </row>
    <row r="20" spans="1:17" ht="30" x14ac:dyDescent="0.25">
      <c r="E20" t="s">
        <v>39</v>
      </c>
      <c r="F20">
        <v>10</v>
      </c>
      <c r="G20" t="s">
        <v>46</v>
      </c>
      <c r="H20" s="30" t="s">
        <v>15</v>
      </c>
      <c r="I20" s="4" t="s">
        <v>0</v>
      </c>
      <c r="J20" s="1" t="s">
        <v>21</v>
      </c>
      <c r="K20" s="1" t="s">
        <v>16</v>
      </c>
      <c r="L20" s="1" t="s">
        <v>17</v>
      </c>
      <c r="M20" s="1" t="s">
        <v>18</v>
      </c>
      <c r="N20" s="1" t="s">
        <v>19</v>
      </c>
      <c r="O20" s="1" t="s">
        <v>20</v>
      </c>
      <c r="P20" s="3"/>
      <c r="Q20" s="3"/>
    </row>
    <row r="21" spans="1:17" x14ac:dyDescent="0.25">
      <c r="H21" s="30"/>
      <c r="I21" s="4" t="s">
        <v>1</v>
      </c>
      <c r="J21" s="2" t="s">
        <v>4</v>
      </c>
      <c r="K21" s="2" t="s">
        <v>5</v>
      </c>
      <c r="L21" s="2" t="s">
        <v>6</v>
      </c>
      <c r="M21" s="2" t="s">
        <v>7</v>
      </c>
      <c r="N21" s="2" t="s">
        <v>4</v>
      </c>
      <c r="O21" s="2" t="s">
        <v>5</v>
      </c>
      <c r="P21" s="3"/>
      <c r="Q21" s="3"/>
    </row>
    <row r="22" spans="1:17" x14ac:dyDescent="0.25">
      <c r="H22" s="30"/>
      <c r="I22" s="4" t="s">
        <v>3</v>
      </c>
      <c r="J22" s="2" t="s">
        <v>8</v>
      </c>
      <c r="K22" s="2" t="s">
        <v>9</v>
      </c>
      <c r="L22" s="2" t="s">
        <v>10</v>
      </c>
      <c r="M22" s="2" t="s">
        <v>11</v>
      </c>
      <c r="N22" s="2" t="s">
        <v>12</v>
      </c>
      <c r="O22" s="2" t="s">
        <v>13</v>
      </c>
      <c r="P22" s="3"/>
      <c r="Q22" s="3"/>
    </row>
    <row r="23" spans="1:17" x14ac:dyDescent="0.25">
      <c r="H23" s="30"/>
      <c r="I23" s="4" t="s">
        <v>2</v>
      </c>
      <c r="J23" s="2">
        <v>86</v>
      </c>
      <c r="K23" s="2">
        <v>76</v>
      </c>
      <c r="L23" s="2">
        <v>65</v>
      </c>
      <c r="M23" s="2">
        <v>88</v>
      </c>
      <c r="N23" s="2">
        <v>75</v>
      </c>
      <c r="O23" s="2">
        <v>63</v>
      </c>
      <c r="P23" s="2">
        <f>SUM(J23,O23)</f>
        <v>149</v>
      </c>
      <c r="Q23" s="2">
        <f>AVERAGE(J23:O23)</f>
        <v>75.5</v>
      </c>
    </row>
    <row r="24" spans="1:17" x14ac:dyDescent="0.25">
      <c r="C24" t="s">
        <v>33</v>
      </c>
      <c r="D24" t="s">
        <v>34</v>
      </c>
      <c r="E24" t="s">
        <v>3</v>
      </c>
      <c r="H24" s="30"/>
      <c r="I24" s="4" t="s">
        <v>14</v>
      </c>
      <c r="J24" s="2">
        <v>45</v>
      </c>
      <c r="K24" s="2">
        <v>40</v>
      </c>
      <c r="L24" s="2">
        <v>43</v>
      </c>
      <c r="M24" s="2">
        <v>35</v>
      </c>
      <c r="N24" s="2">
        <v>30</v>
      </c>
      <c r="O24" s="2">
        <v>38</v>
      </c>
      <c r="P24" s="2">
        <f>SUM(J24:O24)</f>
        <v>231</v>
      </c>
      <c r="Q24" s="2">
        <f>AVERAGE(J24:O24)</f>
        <v>38.5</v>
      </c>
    </row>
    <row r="25" spans="1:17" x14ac:dyDescent="0.25">
      <c r="C25" t="s">
        <v>35</v>
      </c>
      <c r="D25">
        <v>10</v>
      </c>
      <c r="E25" t="s">
        <v>42</v>
      </c>
    </row>
    <row r="26" spans="1:17" x14ac:dyDescent="0.25">
      <c r="C26" t="s">
        <v>36</v>
      </c>
      <c r="D26">
        <v>12</v>
      </c>
      <c r="E26" t="s">
        <v>43</v>
      </c>
    </row>
    <row r="27" spans="1:17" x14ac:dyDescent="0.25">
      <c r="C27" t="s">
        <v>37</v>
      </c>
      <c r="D27">
        <v>8</v>
      </c>
      <c r="E27" t="s">
        <v>44</v>
      </c>
    </row>
    <row r="28" spans="1:17" x14ac:dyDescent="0.25">
      <c r="C28" t="s">
        <v>38</v>
      </c>
      <c r="D28">
        <v>9</v>
      </c>
      <c r="E28" t="s">
        <v>45</v>
      </c>
    </row>
    <row r="29" spans="1:17" x14ac:dyDescent="0.25">
      <c r="C29" t="s">
        <v>39</v>
      </c>
      <c r="D29">
        <v>10</v>
      </c>
      <c r="E29" t="s">
        <v>46</v>
      </c>
    </row>
    <row r="34" spans="2:17" ht="30" x14ac:dyDescent="0.25">
      <c r="B34" s="16" t="s">
        <v>47</v>
      </c>
      <c r="C34" s="16" t="s">
        <v>48</v>
      </c>
      <c r="D34" s="16" t="s">
        <v>43</v>
      </c>
      <c r="E34" s="16" t="s">
        <v>9</v>
      </c>
      <c r="F34" s="16" t="s">
        <v>8</v>
      </c>
      <c r="G34" s="16" t="s">
        <v>11</v>
      </c>
      <c r="H34" s="16" t="s">
        <v>59</v>
      </c>
      <c r="I34" s="16" t="s">
        <v>60</v>
      </c>
      <c r="J34" s="16" t="s">
        <v>65</v>
      </c>
      <c r="K34" s="16" t="s">
        <v>61</v>
      </c>
      <c r="L34" s="16" t="s">
        <v>62</v>
      </c>
      <c r="M34" s="16" t="s">
        <v>63</v>
      </c>
      <c r="N34" s="16" t="s">
        <v>64</v>
      </c>
      <c r="O34" s="16" t="s">
        <v>66</v>
      </c>
      <c r="P34" s="16" t="s">
        <v>67</v>
      </c>
      <c r="Q34" s="16" t="s">
        <v>68</v>
      </c>
    </row>
    <row r="35" spans="2:17" x14ac:dyDescent="0.25">
      <c r="B35" s="17">
        <v>1</v>
      </c>
      <c r="C35" s="17" t="s">
        <v>49</v>
      </c>
      <c r="D35" s="17">
        <v>85</v>
      </c>
      <c r="E35" s="17">
        <v>78</v>
      </c>
      <c r="F35" s="17">
        <v>88</v>
      </c>
      <c r="G35" s="17">
        <v>74</v>
      </c>
      <c r="H35">
        <f>SUM(D35:G35)</f>
        <v>325</v>
      </c>
      <c r="I35">
        <f t="shared" ref="I35:I44" si="0">PRODUCT(D35:G35)</f>
        <v>43174560</v>
      </c>
      <c r="J35">
        <v>101000</v>
      </c>
      <c r="K35">
        <f t="shared" ref="K35:K44" si="1">SUM(D35:G35)</f>
        <v>325</v>
      </c>
      <c r="L35">
        <f t="shared" ref="L35:L44" si="2">AVERAGE(D35:G35)</f>
        <v>81.25</v>
      </c>
      <c r="M35">
        <f t="shared" ref="M35:M44" si="3">MAX(D35:G35)</f>
        <v>88</v>
      </c>
      <c r="N35">
        <f t="shared" ref="N35:N44" si="4">MIN(D35:G35)</f>
        <v>74</v>
      </c>
      <c r="O35">
        <f>SUM(Table6[[#This Row],[Math]:[History]])</f>
        <v>325</v>
      </c>
      <c r="P35">
        <f>PRODUCT(Table6[[#This Row],[Math]:[History]])</f>
        <v>43174560</v>
      </c>
      <c r="Q35">
        <f>AVERAGE(Table6[[#This Row],[Math]:[History]])</f>
        <v>81.25</v>
      </c>
    </row>
    <row r="36" spans="2:17" x14ac:dyDescent="0.25">
      <c r="B36" s="17">
        <v>2</v>
      </c>
      <c r="C36" s="17" t="s">
        <v>50</v>
      </c>
      <c r="D36" s="17">
        <v>92</v>
      </c>
      <c r="E36" s="17">
        <v>81</v>
      </c>
      <c r="F36" s="17">
        <v>79</v>
      </c>
      <c r="G36" s="17">
        <v>85</v>
      </c>
      <c r="H36">
        <f t="shared" ref="H36:H44" si="5">SUM(D36:G36)</f>
        <v>337</v>
      </c>
      <c r="I36">
        <f t="shared" si="0"/>
        <v>50040180</v>
      </c>
      <c r="J36">
        <f>BIN2DEC(J35)</f>
        <v>40</v>
      </c>
      <c r="K36">
        <f t="shared" si="1"/>
        <v>337</v>
      </c>
      <c r="L36">
        <f t="shared" si="2"/>
        <v>84.25</v>
      </c>
      <c r="M36">
        <f t="shared" si="3"/>
        <v>92</v>
      </c>
      <c r="N36">
        <f t="shared" si="4"/>
        <v>79</v>
      </c>
      <c r="O36">
        <f>SUM(Table6[[#This Row],[Math]:[History]])</f>
        <v>337</v>
      </c>
      <c r="P36">
        <f>PRODUCT(Table6[[#This Row],[Math]:[History]])</f>
        <v>50040180</v>
      </c>
      <c r="Q36">
        <f>AVERAGE(Table6[[#This Row],[Math]:[History]])</f>
        <v>84.25</v>
      </c>
    </row>
    <row r="37" spans="2:17" x14ac:dyDescent="0.25">
      <c r="B37" s="17">
        <v>3</v>
      </c>
      <c r="C37" s="17" t="s">
        <v>51</v>
      </c>
      <c r="D37" s="17">
        <v>76</v>
      </c>
      <c r="E37" s="17">
        <v>69</v>
      </c>
      <c r="F37" s="17">
        <v>84</v>
      </c>
      <c r="G37" s="17">
        <v>80</v>
      </c>
      <c r="H37">
        <f t="shared" si="5"/>
        <v>309</v>
      </c>
      <c r="I37">
        <f t="shared" si="0"/>
        <v>35239680</v>
      </c>
      <c r="J37">
        <v>101001</v>
      </c>
      <c r="K37">
        <f t="shared" si="1"/>
        <v>309</v>
      </c>
      <c r="L37">
        <f t="shared" si="2"/>
        <v>77.25</v>
      </c>
      <c r="M37">
        <f t="shared" si="3"/>
        <v>84</v>
      </c>
      <c r="N37">
        <f t="shared" si="4"/>
        <v>69</v>
      </c>
      <c r="O37">
        <f>SUM(Table6[[#This Row],[Math]:[History]])</f>
        <v>309</v>
      </c>
      <c r="P37">
        <f>PRODUCT(Table6[[#This Row],[Math]:[History]])</f>
        <v>35239680</v>
      </c>
      <c r="Q37">
        <f>AVERAGE(Table6[[#This Row],[Math]:[History]])</f>
        <v>77.25</v>
      </c>
    </row>
    <row r="38" spans="2:17" x14ac:dyDescent="0.25">
      <c r="B38" s="17">
        <v>4</v>
      </c>
      <c r="C38" s="17" t="s">
        <v>52</v>
      </c>
      <c r="D38" s="17">
        <v>88</v>
      </c>
      <c r="E38" s="17">
        <v>91</v>
      </c>
      <c r="F38" s="17">
        <v>90</v>
      </c>
      <c r="G38" s="17">
        <v>87</v>
      </c>
      <c r="H38">
        <f t="shared" si="5"/>
        <v>356</v>
      </c>
      <c r="I38">
        <f t="shared" si="0"/>
        <v>62702640</v>
      </c>
      <c r="J38" t="str">
        <f>BIN2HEX(J37)</f>
        <v>29</v>
      </c>
      <c r="K38">
        <f t="shared" si="1"/>
        <v>356</v>
      </c>
      <c r="L38">
        <f t="shared" si="2"/>
        <v>89</v>
      </c>
      <c r="M38">
        <f t="shared" si="3"/>
        <v>91</v>
      </c>
      <c r="N38">
        <f t="shared" si="4"/>
        <v>87</v>
      </c>
      <c r="O38">
        <f>SUM(Table6[[#This Row],[Math]:[History]])</f>
        <v>356</v>
      </c>
      <c r="P38">
        <f>PRODUCT(Table6[[#This Row],[Math]:[History]])</f>
        <v>62702640</v>
      </c>
      <c r="Q38">
        <f>AVERAGE(Table6[[#This Row],[Math]:[History]])</f>
        <v>89</v>
      </c>
    </row>
    <row r="39" spans="2:17" x14ac:dyDescent="0.25">
      <c r="B39" s="17">
        <v>5</v>
      </c>
      <c r="C39" s="17" t="s">
        <v>53</v>
      </c>
      <c r="D39" s="17">
        <v>67</v>
      </c>
      <c r="E39" s="17">
        <v>73</v>
      </c>
      <c r="F39" s="17">
        <v>70</v>
      </c>
      <c r="G39" s="17">
        <v>68</v>
      </c>
      <c r="H39">
        <f t="shared" si="5"/>
        <v>278</v>
      </c>
      <c r="I39">
        <f t="shared" si="0"/>
        <v>23281160</v>
      </c>
      <c r="J39">
        <v>101010</v>
      </c>
      <c r="K39">
        <f t="shared" si="1"/>
        <v>278</v>
      </c>
      <c r="L39">
        <f t="shared" si="2"/>
        <v>69.5</v>
      </c>
      <c r="M39">
        <f t="shared" si="3"/>
        <v>73</v>
      </c>
      <c r="N39">
        <f t="shared" si="4"/>
        <v>67</v>
      </c>
      <c r="O39">
        <f>SUM(Table6[[#This Row],[Math]:[History]])</f>
        <v>278</v>
      </c>
      <c r="P39">
        <f>PRODUCT(Table6[[#This Row],[Math]:[History]])</f>
        <v>23281160</v>
      </c>
      <c r="Q39">
        <f>AVERAGE(Table6[[#This Row],[Math]:[History]])</f>
        <v>69.5</v>
      </c>
    </row>
    <row r="40" spans="2:17" x14ac:dyDescent="0.25">
      <c r="B40" s="17">
        <v>6</v>
      </c>
      <c r="C40" s="17" t="s">
        <v>54</v>
      </c>
      <c r="D40" s="17">
        <v>90</v>
      </c>
      <c r="E40" s="17">
        <v>88</v>
      </c>
      <c r="F40" s="17">
        <v>92</v>
      </c>
      <c r="G40" s="17">
        <v>89</v>
      </c>
      <c r="H40">
        <f t="shared" si="5"/>
        <v>359</v>
      </c>
      <c r="I40">
        <f t="shared" si="0"/>
        <v>64848960</v>
      </c>
      <c r="J40" t="str">
        <f>BIN2OCT(J39)</f>
        <v>52</v>
      </c>
      <c r="K40">
        <f t="shared" si="1"/>
        <v>359</v>
      </c>
      <c r="L40">
        <f t="shared" si="2"/>
        <v>89.75</v>
      </c>
      <c r="M40">
        <f t="shared" si="3"/>
        <v>92</v>
      </c>
      <c r="N40">
        <f t="shared" si="4"/>
        <v>88</v>
      </c>
      <c r="O40">
        <f>SUM(Table6[[#This Row],[Math]:[History]])</f>
        <v>359</v>
      </c>
      <c r="P40">
        <f>PRODUCT(Table6[[#This Row],[Math]:[History]])</f>
        <v>64848960</v>
      </c>
      <c r="Q40">
        <f>AVERAGE(Table6[[#This Row],[Math]:[History]])</f>
        <v>89.75</v>
      </c>
    </row>
    <row r="41" spans="2:17" x14ac:dyDescent="0.25">
      <c r="B41" s="17">
        <v>7</v>
      </c>
      <c r="C41" s="17" t="s">
        <v>55</v>
      </c>
      <c r="D41" s="17">
        <v>72</v>
      </c>
      <c r="E41" s="17">
        <v>75</v>
      </c>
      <c r="F41" s="17">
        <v>68</v>
      </c>
      <c r="G41" s="17">
        <v>71</v>
      </c>
      <c r="H41">
        <f t="shared" si="5"/>
        <v>286</v>
      </c>
      <c r="I41">
        <f t="shared" si="0"/>
        <v>26071200</v>
      </c>
      <c r="K41">
        <f t="shared" si="1"/>
        <v>286</v>
      </c>
      <c r="L41">
        <f t="shared" si="2"/>
        <v>71.5</v>
      </c>
      <c r="M41">
        <f t="shared" si="3"/>
        <v>75</v>
      </c>
      <c r="N41">
        <f t="shared" si="4"/>
        <v>68</v>
      </c>
      <c r="O41">
        <f>SUM(Table6[[#This Row],[Math]:[History]])</f>
        <v>286</v>
      </c>
      <c r="P41">
        <f>PRODUCT(Table6[[#This Row],[Math]:[History]])</f>
        <v>26071200</v>
      </c>
      <c r="Q41">
        <f>AVERAGE(Table6[[#This Row],[Math]:[History]])</f>
        <v>71.5</v>
      </c>
    </row>
    <row r="42" spans="2:17" x14ac:dyDescent="0.25">
      <c r="B42" s="17">
        <v>8</v>
      </c>
      <c r="C42" s="17" t="s">
        <v>56</v>
      </c>
      <c r="D42" s="17">
        <v>95</v>
      </c>
      <c r="E42" s="17">
        <v>88</v>
      </c>
      <c r="F42" s="17">
        <v>94</v>
      </c>
      <c r="G42" s="17">
        <v>91</v>
      </c>
      <c r="H42">
        <f t="shared" si="5"/>
        <v>368</v>
      </c>
      <c r="I42">
        <f t="shared" si="0"/>
        <v>71511440</v>
      </c>
      <c r="K42">
        <f t="shared" si="1"/>
        <v>368</v>
      </c>
      <c r="L42">
        <f t="shared" si="2"/>
        <v>92</v>
      </c>
      <c r="M42">
        <f t="shared" si="3"/>
        <v>95</v>
      </c>
      <c r="N42">
        <f t="shared" si="4"/>
        <v>88</v>
      </c>
      <c r="O42">
        <f>SUM(Table6[[#This Row],[Math]:[History]])</f>
        <v>368</v>
      </c>
      <c r="P42">
        <f>PRODUCT(Table6[[#This Row],[Math]:[History]])</f>
        <v>71511440</v>
      </c>
      <c r="Q42">
        <f>AVERAGE(Table6[[#This Row],[Math]:[History]])</f>
        <v>92</v>
      </c>
    </row>
    <row r="43" spans="2:17" x14ac:dyDescent="0.25">
      <c r="B43" s="17">
        <v>9</v>
      </c>
      <c r="C43" s="17" t="s">
        <v>57</v>
      </c>
      <c r="D43" s="17">
        <v>80</v>
      </c>
      <c r="E43" s="17">
        <v>77</v>
      </c>
      <c r="F43" s="17">
        <v>82</v>
      </c>
      <c r="G43" s="17">
        <v>79</v>
      </c>
      <c r="H43">
        <f t="shared" si="5"/>
        <v>318</v>
      </c>
      <c r="I43">
        <f t="shared" si="0"/>
        <v>39904480</v>
      </c>
      <c r="K43">
        <f t="shared" si="1"/>
        <v>318</v>
      </c>
      <c r="L43">
        <f t="shared" si="2"/>
        <v>79.5</v>
      </c>
      <c r="M43">
        <f t="shared" si="3"/>
        <v>82</v>
      </c>
      <c r="N43">
        <f t="shared" si="4"/>
        <v>77</v>
      </c>
      <c r="O43">
        <f>SUM(Table6[[#This Row],[Math]:[History]])</f>
        <v>318</v>
      </c>
      <c r="P43">
        <f>PRODUCT(Table6[[#This Row],[Math]:[History]])</f>
        <v>39904480</v>
      </c>
      <c r="Q43">
        <f>AVERAGE(Table6[[#This Row],[Math]:[History]])</f>
        <v>79.5</v>
      </c>
    </row>
    <row r="44" spans="2:17" x14ac:dyDescent="0.25">
      <c r="B44" s="17">
        <v>10</v>
      </c>
      <c r="C44" s="17" t="s">
        <v>58</v>
      </c>
      <c r="D44" s="17">
        <v>86</v>
      </c>
      <c r="E44" s="17">
        <v>84</v>
      </c>
      <c r="F44" s="17">
        <v>87</v>
      </c>
      <c r="G44" s="17">
        <v>83</v>
      </c>
      <c r="H44">
        <f t="shared" si="5"/>
        <v>340</v>
      </c>
      <c r="I44">
        <f t="shared" si="0"/>
        <v>52164504</v>
      </c>
      <c r="K44">
        <f t="shared" si="1"/>
        <v>340</v>
      </c>
      <c r="L44">
        <f t="shared" si="2"/>
        <v>85</v>
      </c>
      <c r="M44">
        <f t="shared" si="3"/>
        <v>87</v>
      </c>
      <c r="N44">
        <f t="shared" si="4"/>
        <v>83</v>
      </c>
      <c r="O44">
        <f>SUM(Table6[[#This Row],[Math]:[History]])</f>
        <v>340</v>
      </c>
      <c r="P44">
        <f>PRODUCT(Table6[[#This Row],[Math]:[History]])</f>
        <v>52164504</v>
      </c>
      <c r="Q44">
        <f>AVERAGE(Table6[[#This Row],[Math]:[History]])</f>
        <v>85</v>
      </c>
    </row>
    <row r="45" spans="2:17" x14ac:dyDescent="0.25">
      <c r="H45">
        <f>SUM(H35:H44)</f>
        <v>3276</v>
      </c>
    </row>
    <row r="48" spans="2:17" x14ac:dyDescent="0.25">
      <c r="B48" s="15" t="s">
        <v>69</v>
      </c>
      <c r="C48" t="s">
        <v>40</v>
      </c>
      <c r="D48" t="s">
        <v>41</v>
      </c>
    </row>
    <row r="49" spans="2:9" x14ac:dyDescent="0.25">
      <c r="B49">
        <v>78</v>
      </c>
      <c r="C49" s="13" t="s">
        <v>71</v>
      </c>
      <c r="D49">
        <f>COUNT(B49:B56)</f>
        <v>4</v>
      </c>
    </row>
    <row r="50" spans="2:9" x14ac:dyDescent="0.25">
      <c r="B50">
        <v>52</v>
      </c>
      <c r="C50" s="13" t="s">
        <v>72</v>
      </c>
      <c r="D50">
        <f>COUNTA(B49:B56)</f>
        <v>6</v>
      </c>
    </row>
    <row r="51" spans="2:9" x14ac:dyDescent="0.25">
      <c r="B51" t="s">
        <v>22</v>
      </c>
      <c r="C51" s="13" t="s">
        <v>73</v>
      </c>
      <c r="D51">
        <f>COUNTBLANK(B49:B56)</f>
        <v>2</v>
      </c>
    </row>
    <row r="53" spans="2:9" x14ac:dyDescent="0.25">
      <c r="B53" t="s">
        <v>70</v>
      </c>
    </row>
    <row r="55" spans="2:9" x14ac:dyDescent="0.25">
      <c r="B55">
        <v>45</v>
      </c>
    </row>
    <row r="56" spans="2:9" x14ac:dyDescent="0.25">
      <c r="B56">
        <v>56</v>
      </c>
    </row>
    <row r="61" spans="2:9" x14ac:dyDescent="0.25">
      <c r="C61" s="16" t="s">
        <v>219</v>
      </c>
      <c r="D61" s="16" t="s">
        <v>220</v>
      </c>
      <c r="E61" s="16" t="s">
        <v>221</v>
      </c>
      <c r="F61" s="16" t="s">
        <v>222</v>
      </c>
      <c r="G61" s="16" t="s">
        <v>223</v>
      </c>
      <c r="H61" s="16" t="s">
        <v>250</v>
      </c>
      <c r="I61" s="16" t="s">
        <v>259</v>
      </c>
    </row>
    <row r="62" spans="2:9" x14ac:dyDescent="0.25">
      <c r="C62" s="17">
        <v>1</v>
      </c>
      <c r="D62" s="17" t="s">
        <v>224</v>
      </c>
      <c r="E62" s="17" t="s">
        <v>251</v>
      </c>
      <c r="F62" s="17" t="s">
        <v>225</v>
      </c>
      <c r="G62" s="29">
        <v>45296</v>
      </c>
      <c r="H62" t="str">
        <f>TRIM(E62)</f>
        <v>Sharma</v>
      </c>
      <c r="I62" t="e" cm="1">
        <f t="array" ref="I62">LEFT(Ravi)</f>
        <v>#NAME?</v>
      </c>
    </row>
    <row r="63" spans="2:9" x14ac:dyDescent="0.25">
      <c r="C63" s="17">
        <v>2</v>
      </c>
      <c r="D63" s="17" t="s">
        <v>226</v>
      </c>
      <c r="E63" s="17" t="s">
        <v>252</v>
      </c>
      <c r="F63" s="17" t="s">
        <v>227</v>
      </c>
      <c r="G63" s="29">
        <v>45414</v>
      </c>
      <c r="H63" t="str">
        <f t="shared" ref="H63:H71" si="6">TRIM(E63)</f>
        <v>Patel</v>
      </c>
    </row>
    <row r="64" spans="2:9" x14ac:dyDescent="0.25">
      <c r="C64" s="17">
        <v>3</v>
      </c>
      <c r="D64" s="17" t="s">
        <v>228</v>
      </c>
      <c r="E64" s="17" t="s">
        <v>253</v>
      </c>
      <c r="F64" s="17" t="s">
        <v>229</v>
      </c>
      <c r="G64" s="17" t="s">
        <v>230</v>
      </c>
      <c r="H64" t="str">
        <f t="shared" si="6"/>
        <v>Verma</v>
      </c>
    </row>
    <row r="65" spans="3:8" x14ac:dyDescent="0.25">
      <c r="C65" s="17">
        <v>4</v>
      </c>
      <c r="D65" s="17" t="s">
        <v>231</v>
      </c>
      <c r="E65" s="17" t="s">
        <v>255</v>
      </c>
      <c r="F65" s="17" t="s">
        <v>232</v>
      </c>
      <c r="G65" s="29">
        <v>45569</v>
      </c>
      <c r="H65" t="str">
        <f t="shared" si="6"/>
        <v>Kumar</v>
      </c>
    </row>
    <row r="66" spans="3:8" x14ac:dyDescent="0.25">
      <c r="C66" s="17">
        <v>5</v>
      </c>
      <c r="D66" s="17" t="s">
        <v>233</v>
      </c>
      <c r="E66" s="17" t="s">
        <v>254</v>
      </c>
      <c r="F66" s="17" t="s">
        <v>234</v>
      </c>
      <c r="G66" s="29">
        <v>45427</v>
      </c>
      <c r="H66" t="str">
        <f t="shared" si="6"/>
        <v>Joshi</v>
      </c>
    </row>
    <row r="67" spans="3:8" ht="30" x14ac:dyDescent="0.25">
      <c r="C67" s="17">
        <v>6</v>
      </c>
      <c r="D67" s="17" t="s">
        <v>235</v>
      </c>
      <c r="E67" s="17" t="s">
        <v>236</v>
      </c>
      <c r="F67" s="17" t="s">
        <v>237</v>
      </c>
      <c r="G67" s="17">
        <v>15062024</v>
      </c>
      <c r="H67" t="str">
        <f t="shared" si="6"/>
        <v>Desai</v>
      </c>
    </row>
    <row r="68" spans="3:8" x14ac:dyDescent="0.25">
      <c r="C68" s="17">
        <v>7</v>
      </c>
      <c r="D68" s="17" t="s">
        <v>238</v>
      </c>
      <c r="E68" s="17" t="s">
        <v>256</v>
      </c>
      <c r="F68" s="17" t="s">
        <v>239</v>
      </c>
      <c r="G68" s="29">
        <v>45493</v>
      </c>
      <c r="H68" t="str">
        <f t="shared" si="6"/>
        <v>Singh</v>
      </c>
    </row>
    <row r="69" spans="3:8" ht="30" x14ac:dyDescent="0.25">
      <c r="C69" s="17">
        <v>8</v>
      </c>
      <c r="D69" s="17" t="s">
        <v>240</v>
      </c>
      <c r="E69" s="17" t="s">
        <v>257</v>
      </c>
      <c r="F69" s="17" t="s">
        <v>241</v>
      </c>
      <c r="G69" s="17" t="s">
        <v>242</v>
      </c>
      <c r="H69" t="str">
        <f t="shared" si="6"/>
        <v>Gupta</v>
      </c>
    </row>
    <row r="70" spans="3:8" ht="45" x14ac:dyDescent="0.25">
      <c r="C70" s="17">
        <v>9</v>
      </c>
      <c r="D70" s="17" t="s">
        <v>243</v>
      </c>
      <c r="E70" s="17" t="s">
        <v>244</v>
      </c>
      <c r="F70" s="17" t="s">
        <v>245</v>
      </c>
      <c r="G70" s="17" t="s">
        <v>246</v>
      </c>
      <c r="H70" t="str">
        <f t="shared" si="6"/>
        <v>Mehta</v>
      </c>
    </row>
    <row r="71" spans="3:8" x14ac:dyDescent="0.25">
      <c r="C71" s="17">
        <v>10</v>
      </c>
      <c r="D71" s="17" t="s">
        <v>247</v>
      </c>
      <c r="E71" s="17" t="s">
        <v>258</v>
      </c>
      <c r="F71" s="17" t="s">
        <v>248</v>
      </c>
      <c r="G71" s="17" t="s">
        <v>249</v>
      </c>
      <c r="H71" t="str">
        <f t="shared" si="6"/>
        <v>Kulkarni</v>
      </c>
    </row>
    <row r="80" spans="3:8" ht="30" x14ac:dyDescent="0.25">
      <c r="C80" s="16" t="s">
        <v>260</v>
      </c>
      <c r="D80" s="16" t="s">
        <v>261</v>
      </c>
      <c r="E80" s="16" t="s">
        <v>262</v>
      </c>
      <c r="F80" s="16" t="s">
        <v>263</v>
      </c>
    </row>
    <row r="81" spans="3:20" x14ac:dyDescent="0.25">
      <c r="C81" s="17" t="s">
        <v>264</v>
      </c>
      <c r="D81" s="17" t="s">
        <v>265</v>
      </c>
      <c r="E81" s="17">
        <v>25</v>
      </c>
      <c r="F81" s="17">
        <v>499</v>
      </c>
      <c r="H81" t="s">
        <v>274</v>
      </c>
    </row>
    <row r="82" spans="3:20" x14ac:dyDescent="0.25">
      <c r="C82" s="17" t="s">
        <v>266</v>
      </c>
      <c r="D82" s="17" t="s">
        <v>267</v>
      </c>
      <c r="E82" s="17">
        <v>15</v>
      </c>
      <c r="F82" s="33">
        <v>1299</v>
      </c>
      <c r="H82" t="s">
        <v>275</v>
      </c>
      <c r="I82" t="s">
        <v>276</v>
      </c>
      <c r="J82" t="s">
        <v>277</v>
      </c>
      <c r="K82" t="s">
        <v>278</v>
      </c>
    </row>
    <row r="83" spans="3:20" x14ac:dyDescent="0.25">
      <c r="C83" s="17" t="s">
        <v>268</v>
      </c>
      <c r="D83" s="17" t="s">
        <v>269</v>
      </c>
      <c r="E83" s="17">
        <v>30</v>
      </c>
      <c r="F83" s="17">
        <v>899</v>
      </c>
      <c r="H83" t="s">
        <v>266</v>
      </c>
      <c r="I83">
        <f>VLOOKUP(H83,Table1[#All],4,0)</f>
        <v>1299</v>
      </c>
      <c r="J83">
        <f>VLOOKUP(H83,Table1[#All],3,0)</f>
        <v>15</v>
      </c>
      <c r="K83">
        <f>PRODUCT(I83:J83)</f>
        <v>19485</v>
      </c>
    </row>
    <row r="84" spans="3:20" x14ac:dyDescent="0.25">
      <c r="C84" s="17" t="s">
        <v>270</v>
      </c>
      <c r="D84" s="17" t="s">
        <v>271</v>
      </c>
      <c r="E84" s="17">
        <v>20</v>
      </c>
      <c r="F84" s="17">
        <v>699</v>
      </c>
      <c r="Q84" s="13" t="s">
        <v>292</v>
      </c>
      <c r="R84" s="13"/>
    </row>
    <row r="85" spans="3:20" x14ac:dyDescent="0.25">
      <c r="C85" s="17" t="s">
        <v>272</v>
      </c>
      <c r="D85" s="17" t="s">
        <v>273</v>
      </c>
      <c r="E85" s="17">
        <v>10</v>
      </c>
      <c r="F85" s="33">
        <v>2499</v>
      </c>
      <c r="H85" t="s">
        <v>279</v>
      </c>
      <c r="Q85" s="13" t="s">
        <v>287</v>
      </c>
      <c r="R85" s="13" t="s">
        <v>2</v>
      </c>
      <c r="S85" s="36"/>
      <c r="T85">
        <v>100</v>
      </c>
    </row>
    <row r="86" spans="3:20" x14ac:dyDescent="0.25">
      <c r="H86" t="s">
        <v>275</v>
      </c>
      <c r="I86" t="s">
        <v>276</v>
      </c>
      <c r="J86" t="s">
        <v>277</v>
      </c>
      <c r="K86" t="s">
        <v>278</v>
      </c>
      <c r="Q86" t="s">
        <v>288</v>
      </c>
      <c r="R86">
        <v>80</v>
      </c>
      <c r="S86" s="35">
        <f>R86/$T$85</f>
        <v>0.8</v>
      </c>
    </row>
    <row r="87" spans="3:20" x14ac:dyDescent="0.25">
      <c r="H87" t="s">
        <v>264</v>
      </c>
      <c r="I87">
        <f>VLOOKUP(H87,Table1[#All],4,0)</f>
        <v>499</v>
      </c>
      <c r="J87">
        <f>VLOOKUP(H87,Table1[#All],3,0)</f>
        <v>25</v>
      </c>
      <c r="K87">
        <f>PRODUCT(Table410[[#This Row],[price ]:[unit ]])</f>
        <v>12475</v>
      </c>
      <c r="Q87" t="s">
        <v>289</v>
      </c>
      <c r="R87">
        <v>50</v>
      </c>
      <c r="S87" s="35">
        <f t="shared" ref="S87:S89" si="7">R87/$T$85</f>
        <v>0.5</v>
      </c>
    </row>
    <row r="88" spans="3:20" x14ac:dyDescent="0.25">
      <c r="H88" t="s">
        <v>266</v>
      </c>
      <c r="I88">
        <f>VLOOKUP(H88,Table1[#All],4,0)</f>
        <v>1299</v>
      </c>
      <c r="J88">
        <f>VLOOKUP(H88,Table1[#All],3,0)</f>
        <v>15</v>
      </c>
      <c r="K88">
        <f t="shared" ref="K88:K91" si="8">PRODUCT(I88:J88)</f>
        <v>19485</v>
      </c>
      <c r="Q88" t="s">
        <v>290</v>
      </c>
      <c r="R88">
        <v>60</v>
      </c>
      <c r="S88" s="35">
        <f t="shared" si="7"/>
        <v>0.6</v>
      </c>
    </row>
    <row r="89" spans="3:20" x14ac:dyDescent="0.25">
      <c r="H89" t="s">
        <v>268</v>
      </c>
      <c r="I89">
        <f>VLOOKUP(H89,Table1[#All],4,0)</f>
        <v>899</v>
      </c>
      <c r="J89">
        <f>VLOOKUP(H89,Table1[#All],3,0)</f>
        <v>30</v>
      </c>
      <c r="K89">
        <f t="shared" si="8"/>
        <v>26970</v>
      </c>
      <c r="Q89" t="s">
        <v>291</v>
      </c>
      <c r="R89">
        <v>70</v>
      </c>
      <c r="S89" s="35">
        <f t="shared" si="7"/>
        <v>0.7</v>
      </c>
    </row>
    <row r="90" spans="3:20" x14ac:dyDescent="0.25">
      <c r="H90" t="s">
        <v>270</v>
      </c>
      <c r="I90">
        <f>VLOOKUP(H90,Table1[#All],4,0)</f>
        <v>699</v>
      </c>
      <c r="J90">
        <f>VLOOKUP(H90,Table1[#All],3,0)</f>
        <v>20</v>
      </c>
      <c r="K90">
        <f t="shared" si="8"/>
        <v>13980</v>
      </c>
    </row>
    <row r="91" spans="3:20" x14ac:dyDescent="0.25">
      <c r="I91">
        <f>VLOOKUP(H95,Table1[#All],4,0)</f>
        <v>2499</v>
      </c>
      <c r="J91">
        <f>VLOOKUP(H95,Table1[#All],3,0)</f>
        <v>10</v>
      </c>
      <c r="K91">
        <f t="shared" si="8"/>
        <v>24990</v>
      </c>
    </row>
    <row r="92" spans="3:20" x14ac:dyDescent="0.25">
      <c r="K92">
        <f>SUBTOTAL(109,Table410[total])</f>
        <v>97900</v>
      </c>
    </row>
    <row r="95" spans="3:20" s="28" customFormat="1" ht="30" x14ac:dyDescent="0.25">
      <c r="C95" s="16" t="s">
        <v>260</v>
      </c>
      <c r="D95" s="32" t="s">
        <v>264</v>
      </c>
      <c r="E95" s="32" t="s">
        <v>266</v>
      </c>
      <c r="F95" s="32" t="s">
        <v>268</v>
      </c>
      <c r="G95" s="32" t="s">
        <v>270</v>
      </c>
      <c r="H95" s="32" t="s">
        <v>272</v>
      </c>
      <c r="M95" s="13" t="s">
        <v>293</v>
      </c>
      <c r="O95"/>
      <c r="S95" s="39"/>
    </row>
    <row r="96" spans="3:20" s="37" customFormat="1" x14ac:dyDescent="0.25">
      <c r="C96" s="16" t="s">
        <v>261</v>
      </c>
      <c r="D96" s="32" t="s">
        <v>265</v>
      </c>
      <c r="E96" s="32" t="s">
        <v>267</v>
      </c>
      <c r="F96" s="32" t="s">
        <v>269</v>
      </c>
      <c r="G96" s="32" t="s">
        <v>271</v>
      </c>
      <c r="H96" s="32" t="s">
        <v>273</v>
      </c>
      <c r="M96" s="37">
        <v>1</v>
      </c>
      <c r="N96" s="37">
        <v>2</v>
      </c>
      <c r="O96" s="37">
        <v>3</v>
      </c>
      <c r="P96" s="37">
        <v>4</v>
      </c>
      <c r="Q96" s="37">
        <v>5</v>
      </c>
      <c r="S96" s="38"/>
    </row>
    <row r="97" spans="3:19" s="28" customFormat="1" x14ac:dyDescent="0.25">
      <c r="C97" s="16" t="s">
        <v>262</v>
      </c>
      <c r="D97" s="32">
        <v>25</v>
      </c>
      <c r="E97" s="32">
        <v>15</v>
      </c>
      <c r="F97" s="32">
        <v>30</v>
      </c>
      <c r="G97" s="32">
        <v>20</v>
      </c>
      <c r="H97" s="32">
        <v>10</v>
      </c>
      <c r="M97" s="28">
        <v>10</v>
      </c>
      <c r="N97" s="28">
        <f>$M97*N$96</f>
        <v>20</v>
      </c>
      <c r="O97" s="28">
        <f t="shared" ref="O97:Q101" si="9">$M97*O$96</f>
        <v>30</v>
      </c>
      <c r="P97" s="28">
        <f t="shared" si="9"/>
        <v>40</v>
      </c>
      <c r="Q97" s="28">
        <f t="shared" si="9"/>
        <v>50</v>
      </c>
      <c r="S97" s="39"/>
    </row>
    <row r="98" spans="3:19" s="28" customFormat="1" x14ac:dyDescent="0.25">
      <c r="C98" s="16" t="s">
        <v>263</v>
      </c>
      <c r="D98" s="32">
        <v>499</v>
      </c>
      <c r="E98" s="40">
        <v>1299</v>
      </c>
      <c r="F98" s="32">
        <v>899</v>
      </c>
      <c r="G98" s="32">
        <v>699</v>
      </c>
      <c r="H98" s="40">
        <v>2499</v>
      </c>
      <c r="M98" s="28">
        <v>20</v>
      </c>
      <c r="N98" s="28">
        <f t="shared" ref="N98:N101" si="10">$M98*N$96</f>
        <v>40</v>
      </c>
      <c r="O98" s="28">
        <f t="shared" si="9"/>
        <v>60</v>
      </c>
      <c r="P98" s="28">
        <f t="shared" si="9"/>
        <v>80</v>
      </c>
      <c r="Q98" s="28">
        <f t="shared" si="9"/>
        <v>100</v>
      </c>
      <c r="S98" s="39"/>
    </row>
    <row r="99" spans="3:19" x14ac:dyDescent="0.25">
      <c r="M99" s="28">
        <v>30</v>
      </c>
      <c r="N99" s="28">
        <f t="shared" si="10"/>
        <v>60</v>
      </c>
      <c r="O99" s="28">
        <f t="shared" si="9"/>
        <v>90</v>
      </c>
      <c r="P99" s="28">
        <f t="shared" si="9"/>
        <v>120</v>
      </c>
      <c r="Q99" s="28">
        <f t="shared" si="9"/>
        <v>150</v>
      </c>
    </row>
    <row r="100" spans="3:19" x14ac:dyDescent="0.25">
      <c r="C100" s="16" t="s">
        <v>280</v>
      </c>
      <c r="F100" s="13" t="s">
        <v>282</v>
      </c>
      <c r="G100">
        <f>INDEX(H87:K90,3,3)</f>
        <v>30</v>
      </c>
      <c r="M100" s="28">
        <v>40</v>
      </c>
      <c r="N100" s="28">
        <f t="shared" si="10"/>
        <v>80</v>
      </c>
      <c r="O100" s="28">
        <f t="shared" si="9"/>
        <v>120</v>
      </c>
      <c r="P100" s="28">
        <f t="shared" si="9"/>
        <v>160</v>
      </c>
      <c r="Q100" s="28">
        <f t="shared" si="9"/>
        <v>200</v>
      </c>
    </row>
    <row r="101" spans="3:19" x14ac:dyDescent="0.25">
      <c r="C101" s="16" t="s">
        <v>275</v>
      </c>
      <c r="D101" t="s">
        <v>264</v>
      </c>
      <c r="F101" s="13" t="s">
        <v>283</v>
      </c>
      <c r="G101">
        <f>MATCH(H88,H87:H90,0)</f>
        <v>2</v>
      </c>
      <c r="L101" s="13" t="s">
        <v>286</v>
      </c>
      <c r="M101" s="28">
        <v>50</v>
      </c>
      <c r="N101" s="28">
        <f t="shared" si="10"/>
        <v>100</v>
      </c>
      <c r="O101" s="28">
        <f t="shared" si="9"/>
        <v>150</v>
      </c>
      <c r="P101" s="28">
        <f t="shared" si="9"/>
        <v>200</v>
      </c>
      <c r="Q101" s="28">
        <f t="shared" si="9"/>
        <v>250</v>
      </c>
    </row>
    <row r="102" spans="3:19" x14ac:dyDescent="0.25">
      <c r="C102" s="16" t="s">
        <v>281</v>
      </c>
      <c r="D102">
        <f>HLOOKUP(D101,C95:H98,4,0)</f>
        <v>499</v>
      </c>
      <c r="G102" s="13" t="s">
        <v>33</v>
      </c>
      <c r="H102" s="13" t="s">
        <v>281</v>
      </c>
      <c r="I102" s="13" t="s">
        <v>285</v>
      </c>
      <c r="J102" s="13" t="s">
        <v>278</v>
      </c>
      <c r="L102" s="13" t="s">
        <v>33</v>
      </c>
      <c r="M102" s="13" t="s">
        <v>281</v>
      </c>
      <c r="N102" s="13" t="s">
        <v>285</v>
      </c>
      <c r="O102" s="13" t="s">
        <v>278</v>
      </c>
    </row>
    <row r="103" spans="3:19" x14ac:dyDescent="0.25">
      <c r="F103" s="13" t="s">
        <v>284</v>
      </c>
      <c r="G103" t="str">
        <f>INDEX(H86:H90,MATCH(I87,I86:I90,0))</f>
        <v>Wireless Mouse</v>
      </c>
      <c r="H103">
        <f t="shared" ref="H103:J103" si="11">INDEX(I86:I90,MATCH(J87,J86:J90,0))</f>
        <v>499</v>
      </c>
      <c r="I103">
        <f t="shared" si="11"/>
        <v>25</v>
      </c>
      <c r="J103">
        <f>INDEX(K86:K90,MATCH(K87,K86:K90,0))</f>
        <v>12475</v>
      </c>
      <c r="L103" t="s">
        <v>264</v>
      </c>
      <c r="M103">
        <f>_xlfn.XLOOKUP(L103,H86:H90,I86:I90,"NA",0,1)</f>
        <v>499</v>
      </c>
      <c r="N103">
        <f t="shared" ref="N103:O106" si="12">_xlfn.XLOOKUP(M103,I86:I90,J86:J90,"NA",0,1)</f>
        <v>25</v>
      </c>
      <c r="O103">
        <f t="shared" si="12"/>
        <v>12475</v>
      </c>
    </row>
    <row r="104" spans="3:19" x14ac:dyDescent="0.25">
      <c r="G104" t="str">
        <f t="shared" ref="G104:G107" si="13">INDEX(H87:H91,MATCH(I88,I87:I91,0))</f>
        <v>Bluetooth Speaker</v>
      </c>
      <c r="H104">
        <f t="shared" ref="H103:J106" si="14">INDEX(I87:I91,MATCH(J88,J87:J91,0))</f>
        <v>1299</v>
      </c>
      <c r="I104">
        <f t="shared" si="14"/>
        <v>15</v>
      </c>
      <c r="J104">
        <f t="shared" ref="J104:J106" si="15">INDEX(K87:K91,MATCH(K88,K87:K91,0))</f>
        <v>19485</v>
      </c>
      <c r="L104" t="s">
        <v>266</v>
      </c>
      <c r="M104">
        <f t="shared" ref="M104:M106" si="16">_xlfn.XLOOKUP(L104,H87:H91,I87:I91,"NA",0,1)</f>
        <v>1299</v>
      </c>
      <c r="N104">
        <f t="shared" si="12"/>
        <v>15</v>
      </c>
      <c r="O104">
        <f t="shared" si="12"/>
        <v>19485</v>
      </c>
    </row>
    <row r="105" spans="3:19" x14ac:dyDescent="0.25">
      <c r="G105" t="str">
        <f t="shared" si="13"/>
        <v>Laptop Stand</v>
      </c>
      <c r="H105">
        <f t="shared" si="14"/>
        <v>899</v>
      </c>
      <c r="I105">
        <f t="shared" si="14"/>
        <v>30</v>
      </c>
      <c r="J105">
        <f t="shared" si="15"/>
        <v>26970</v>
      </c>
      <c r="L105" t="s">
        <v>268</v>
      </c>
      <c r="M105">
        <f t="shared" si="16"/>
        <v>899</v>
      </c>
      <c r="N105">
        <f t="shared" si="12"/>
        <v>30</v>
      </c>
      <c r="O105">
        <f t="shared" si="12"/>
        <v>26970</v>
      </c>
    </row>
    <row r="106" spans="3:19" x14ac:dyDescent="0.25">
      <c r="G106" t="str">
        <f t="shared" si="13"/>
        <v>USB-C Charger</v>
      </c>
      <c r="H106">
        <f t="shared" si="14"/>
        <v>699</v>
      </c>
      <c r="I106">
        <f t="shared" si="14"/>
        <v>20</v>
      </c>
      <c r="J106">
        <f t="shared" si="15"/>
        <v>13980</v>
      </c>
      <c r="L106" t="s">
        <v>270</v>
      </c>
      <c r="M106">
        <f t="shared" si="16"/>
        <v>699</v>
      </c>
      <c r="N106">
        <f t="shared" si="12"/>
        <v>20</v>
      </c>
      <c r="O106">
        <f t="shared" si="12"/>
        <v>13980</v>
      </c>
    </row>
  </sheetData>
  <mergeCells count="3">
    <mergeCell ref="H20:H24"/>
    <mergeCell ref="A1:E1"/>
    <mergeCell ref="I3:J3"/>
  </mergeCells>
  <conditionalFormatting sqref="D35:G44">
    <cfRule type="cellIs" dxfId="3" priority="5" operator="lessThan">
      <formula>40</formula>
    </cfRule>
    <cfRule type="cellIs" dxfId="2" priority="6" operator="greaterThan">
      <formula>90</formula>
    </cfRule>
  </conditionalFormatting>
  <conditionalFormatting sqref="L35:L4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{7A7B0577-2E80-485B-AEF2-34C24F34A772}</x14:id>
        </ext>
      </extLst>
    </cfRule>
  </conditionalFormatting>
  <conditionalFormatting sqref="K35:K44">
    <cfRule type="top10" dxfId="1" priority="3" rank="5"/>
  </conditionalFormatting>
  <conditionalFormatting sqref="E35:E44">
    <cfRule type="duplicateValues" dxfId="0" priority="2"/>
  </conditionalFormatting>
  <conditionalFormatting sqref="Q35:Q44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1">
    <dataValidation type="list" allowBlank="1" showInputMessage="1" showErrorMessage="1" sqref="H87:H90" xr:uid="{A61F504D-498D-4B2D-9A87-2FD881876D71}">
      <formula1>$C$81:$C$85</formula1>
    </dataValidation>
  </dataValidations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7B0577-2E80-485B-AEF2-34C24F34A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L35:L44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Practice day2</vt:lpstr>
      <vt:lpstr>Practce 2</vt:lpstr>
      <vt:lpstr>XF\1048880</vt:lpstr>
      <vt:lpstr>xf1048880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2026-03-15T14:14:10Z</dcterms:created>
  <dcterms:modified xsi:type="dcterms:W3CDTF">2026-04-12T12:59:39Z</dcterms:modified>
</cp:coreProperties>
</file>