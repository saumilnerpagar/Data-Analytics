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DC3\Desktop\"/>
    </mc:Choice>
  </mc:AlternateContent>
  <xr:revisionPtr revIDLastSave="0" documentId="13_ncr:1_{0349A59D-2D67-4A41-8C94-4E9866CFEC0B}" xr6:coauthVersionLast="47" xr6:coauthVersionMax="47" xr10:uidLastSave="{00000000-0000-0000-0000-000000000000}"/>
  <bookViews>
    <workbookView xWindow="-120" yWindow="-120" windowWidth="20730" windowHeight="11040" activeTab="2" xr2:uid="{0F31B13B-AB39-4BCA-9424-0717E0AD5988}"/>
  </bookViews>
  <sheets>
    <sheet name="Detail1" sheetId="4" r:id="rId1"/>
    <sheet name="Sheet2" sheetId="2" r:id="rId2"/>
    <sheet name="Dsshboard" sheetId="3" r:id="rId3"/>
    <sheet name="Sheet1" sheetId="1" r:id="rId4"/>
  </sheets>
  <definedNames>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H2" i="1"/>
  <c r="H3" i="1"/>
  <c r="H4" i="1"/>
  <c r="H5" i="1"/>
  <c r="H6" i="1"/>
  <c r="H7" i="1"/>
  <c r="H8" i="1"/>
  <c r="H9" i="1"/>
</calcChain>
</file>

<file path=xl/sharedStrings.xml><?xml version="1.0" encoding="utf-8"?>
<sst xmlns="http://schemas.openxmlformats.org/spreadsheetml/2006/main" count="128" uniqueCount="39">
  <si>
    <t>Employee_Name</t>
  </si>
  <si>
    <t>Bonus</t>
  </si>
  <si>
    <t xml:space="preserve"> Joining_Date </t>
  </si>
  <si>
    <t xml:space="preserve">Employee_ID  </t>
  </si>
  <si>
    <t>Region</t>
  </si>
  <si>
    <t>E101</t>
  </si>
  <si>
    <t>E102</t>
  </si>
  <si>
    <t>E103</t>
  </si>
  <si>
    <t>E104</t>
  </si>
  <si>
    <t>E105</t>
  </si>
  <si>
    <t>E106</t>
  </si>
  <si>
    <t>E107</t>
  </si>
  <si>
    <t>E108</t>
  </si>
  <si>
    <t>Rahul</t>
  </si>
  <si>
    <t>Priya</t>
  </si>
  <si>
    <t>Aman</t>
  </si>
  <si>
    <t>Neha</t>
  </si>
  <si>
    <t>Karan</t>
  </si>
  <si>
    <t>Simran</t>
  </si>
  <si>
    <t>Mohit</t>
  </si>
  <si>
    <t>Anjali</t>
  </si>
  <si>
    <t>Sales</t>
  </si>
  <si>
    <t>HR</t>
  </si>
  <si>
    <t>IT</t>
  </si>
  <si>
    <t>Finance</t>
  </si>
  <si>
    <t>Salary</t>
  </si>
  <si>
    <t xml:space="preserve"> Department </t>
  </si>
  <si>
    <t>North</t>
  </si>
  <si>
    <t>West</t>
  </si>
  <si>
    <t>South</t>
  </si>
  <si>
    <t>East</t>
  </si>
  <si>
    <t>Total Compensation</t>
  </si>
  <si>
    <t>Joining Year</t>
  </si>
  <si>
    <t>New Department</t>
  </si>
  <si>
    <t>Average of Salary</t>
  </si>
  <si>
    <t>Row Labels</t>
  </si>
  <si>
    <t>Grand Total</t>
  </si>
  <si>
    <t>Sum of Bonus</t>
  </si>
  <si>
    <t>Details for 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</si>
</sst>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6">
    <dxf>
      <numFmt numFmtId="19" formatCode="dd/mm/yyyy"/>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Sheet2!$A$4:$A$8</c:f>
              <c:strCache>
                <c:ptCount val="4"/>
                <c:pt idx="0">
                  <c:v>Finance</c:v>
                </c:pt>
                <c:pt idx="1">
                  <c:v>HR</c:v>
                </c:pt>
                <c:pt idx="2">
                  <c:v>IT</c:v>
                </c:pt>
                <c:pt idx="3">
                  <c:v>Sales</c:v>
                </c:pt>
              </c:strCache>
            </c:strRef>
          </c:cat>
          <c:val>
            <c:numRef>
              <c:f>Sheet2!$B$4:$B$8</c:f>
              <c:numCache>
                <c:formatCode>General</c:formatCode>
                <c:ptCount val="4"/>
                <c:pt idx="0">
                  <c:v>70000</c:v>
                </c:pt>
                <c:pt idx="1">
                  <c:v>60500</c:v>
                </c:pt>
                <c:pt idx="2">
                  <c:v>94000</c:v>
                </c:pt>
                <c:pt idx="3">
                  <c:v>79000</c:v>
                </c:pt>
              </c:numCache>
            </c:numRef>
          </c:val>
          <c:extLst>
            <c:ext xmlns:c16="http://schemas.microsoft.com/office/drawing/2014/chart" uri="{C3380CC4-5D6E-409C-BE32-E72D297353CC}">
              <c16:uniqueId val="{00000000-12A8-4695-8D86-9488551C6E55}"/>
            </c:ext>
          </c:extLst>
        </c:ser>
        <c:dLbls>
          <c:showLegendKey val="0"/>
          <c:showVal val="0"/>
          <c:showCatName val="0"/>
          <c:showSerName val="0"/>
          <c:showPercent val="0"/>
          <c:showBubbleSize val="0"/>
        </c:dLbls>
        <c:gapWidth val="65"/>
        <c:shape val="box"/>
        <c:axId val="1700341407"/>
        <c:axId val="1700362047"/>
        <c:axId val="1841661103"/>
      </c:bar3DChart>
      <c:catAx>
        <c:axId val="1700341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0362047"/>
        <c:crosses val="autoZero"/>
        <c:auto val="1"/>
        <c:lblAlgn val="ctr"/>
        <c:lblOffset val="100"/>
        <c:noMultiLvlLbl val="0"/>
      </c:catAx>
      <c:valAx>
        <c:axId val="17003620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0341407"/>
        <c:crosses val="autoZero"/>
        <c:crossBetween val="between"/>
      </c:valAx>
      <c:serAx>
        <c:axId val="1841661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036204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Sheet2!$E$4:$E$8</c:f>
              <c:strCache>
                <c:ptCount val="4"/>
                <c:pt idx="0">
                  <c:v>East</c:v>
                </c:pt>
                <c:pt idx="1">
                  <c:v>North</c:v>
                </c:pt>
                <c:pt idx="2">
                  <c:v>South</c:v>
                </c:pt>
                <c:pt idx="3">
                  <c:v>West</c:v>
                </c:pt>
              </c:strCache>
            </c:strRef>
          </c:cat>
          <c:val>
            <c:numRef>
              <c:f>Sheet2!$F$4:$F$8</c:f>
              <c:numCache>
                <c:formatCode>General</c:formatCode>
                <c:ptCount val="4"/>
                <c:pt idx="0">
                  <c:v>13500</c:v>
                </c:pt>
                <c:pt idx="1">
                  <c:v>17000</c:v>
                </c:pt>
                <c:pt idx="2">
                  <c:v>16000</c:v>
                </c:pt>
                <c:pt idx="3">
                  <c:v>20000</c:v>
                </c:pt>
              </c:numCache>
            </c:numRef>
          </c:val>
          <c:extLst>
            <c:ext xmlns:c16="http://schemas.microsoft.com/office/drawing/2014/chart" uri="{C3380CC4-5D6E-409C-BE32-E72D297353CC}">
              <c16:uniqueId val="{00000000-633F-4A50-9BA8-ADC8E7C175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c.xlsx]Sheet2!PivotTable3</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Sheet2!$M$4:$M$14</c:f>
              <c:multiLvlStrCache>
                <c:ptCount val="6"/>
                <c:lvl>
                  <c:pt idx="0">
                    <c:v>Finance</c:v>
                  </c:pt>
                  <c:pt idx="1">
                    <c:v>Sales</c:v>
                  </c:pt>
                  <c:pt idx="2">
                    <c:v>HR</c:v>
                  </c:pt>
                  <c:pt idx="3">
                    <c:v>IT</c:v>
                  </c:pt>
                  <c:pt idx="4">
                    <c:v>HR</c:v>
                  </c:pt>
                  <c:pt idx="5">
                    <c:v>IT</c:v>
                  </c:pt>
                </c:lvl>
                <c:lvl>
                  <c:pt idx="0">
                    <c:v>East</c:v>
                  </c:pt>
                  <c:pt idx="1">
                    <c:v>North</c:v>
                  </c:pt>
                  <c:pt idx="2">
                    <c:v>South</c:v>
                  </c:pt>
                  <c:pt idx="4">
                    <c:v>West</c:v>
                  </c:pt>
                </c:lvl>
              </c:multiLvlStrCache>
            </c:multiLvlStrRef>
          </c:cat>
          <c:val>
            <c:numRef>
              <c:f>Sheet2!$N$4:$N$14</c:f>
              <c:numCache>
                <c:formatCode>General</c:formatCode>
                <c:ptCount val="6"/>
                <c:pt idx="0">
                  <c:v>13500</c:v>
                </c:pt>
                <c:pt idx="1">
                  <c:v>17000</c:v>
                </c:pt>
                <c:pt idx="2">
                  <c:v>4000</c:v>
                </c:pt>
                <c:pt idx="3">
                  <c:v>12000</c:v>
                </c:pt>
                <c:pt idx="4">
                  <c:v>5000</c:v>
                </c:pt>
                <c:pt idx="5">
                  <c:v>15000</c:v>
                </c:pt>
              </c:numCache>
            </c:numRef>
          </c:val>
          <c:extLst>
            <c:ext xmlns:c16="http://schemas.microsoft.com/office/drawing/2014/chart" uri="{C3380CC4-5D6E-409C-BE32-E72D297353CC}">
              <c16:uniqueId val="{00000000-EE04-463E-B51E-BDEACA7CCEF7}"/>
            </c:ext>
          </c:extLst>
        </c:ser>
        <c:dLbls>
          <c:dLblPos val="inEnd"/>
          <c:showLegendKey val="0"/>
          <c:showVal val="1"/>
          <c:showCatName val="0"/>
          <c:showSerName val="0"/>
          <c:showPercent val="0"/>
          <c:showBubbleSize val="0"/>
        </c:dLbls>
        <c:gapWidth val="65"/>
        <c:axId val="1709541359"/>
        <c:axId val="1709558639"/>
      </c:barChart>
      <c:catAx>
        <c:axId val="1709541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9558639"/>
        <c:crosses val="autoZero"/>
        <c:auto val="1"/>
        <c:lblAlgn val="ctr"/>
        <c:lblOffset val="100"/>
        <c:noMultiLvlLbl val="0"/>
      </c:catAx>
      <c:valAx>
        <c:axId val="170955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09541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c.xlsx]Sheet2!PivotTable1</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Sheet2!$A$4:$A$8</c:f>
              <c:strCache>
                <c:ptCount val="4"/>
                <c:pt idx="0">
                  <c:v>Finance</c:v>
                </c:pt>
                <c:pt idx="1">
                  <c:v>HR</c:v>
                </c:pt>
                <c:pt idx="2">
                  <c:v>IT</c:v>
                </c:pt>
                <c:pt idx="3">
                  <c:v>Sales</c:v>
                </c:pt>
              </c:strCache>
            </c:strRef>
          </c:cat>
          <c:val>
            <c:numRef>
              <c:f>Sheet2!$B$4:$B$8</c:f>
              <c:numCache>
                <c:formatCode>General</c:formatCode>
                <c:ptCount val="4"/>
                <c:pt idx="0">
                  <c:v>70000</c:v>
                </c:pt>
                <c:pt idx="1">
                  <c:v>60500</c:v>
                </c:pt>
                <c:pt idx="2">
                  <c:v>94000</c:v>
                </c:pt>
                <c:pt idx="3">
                  <c:v>79000</c:v>
                </c:pt>
              </c:numCache>
            </c:numRef>
          </c:val>
          <c:extLst>
            <c:ext xmlns:c16="http://schemas.microsoft.com/office/drawing/2014/chart" uri="{C3380CC4-5D6E-409C-BE32-E72D297353CC}">
              <c16:uniqueId val="{00000000-96E8-48A5-9B5C-10B188F48EE8}"/>
            </c:ext>
          </c:extLst>
        </c:ser>
        <c:dLbls>
          <c:showLegendKey val="0"/>
          <c:showVal val="0"/>
          <c:showCatName val="0"/>
          <c:showSerName val="0"/>
          <c:showPercent val="0"/>
          <c:showBubbleSize val="0"/>
        </c:dLbls>
        <c:gapWidth val="65"/>
        <c:shape val="box"/>
        <c:axId val="1700341407"/>
        <c:axId val="1700362047"/>
        <c:axId val="1841661103"/>
      </c:bar3DChart>
      <c:catAx>
        <c:axId val="1700341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0362047"/>
        <c:crosses val="autoZero"/>
        <c:auto val="1"/>
        <c:lblAlgn val="ctr"/>
        <c:lblOffset val="100"/>
        <c:noMultiLvlLbl val="0"/>
      </c:catAx>
      <c:valAx>
        <c:axId val="17003620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0341407"/>
        <c:crosses val="autoZero"/>
        <c:crossBetween val="between"/>
      </c:valAx>
      <c:serAx>
        <c:axId val="1841661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036204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83-40B0-9E26-1AE1462259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83-40B0-9E26-1AE14622599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83-40B0-9E26-1AE14622599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183-40B0-9E26-1AE1462259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Sheet2!$E$4:$E$8</c:f>
              <c:strCache>
                <c:ptCount val="4"/>
                <c:pt idx="0">
                  <c:v>East</c:v>
                </c:pt>
                <c:pt idx="1">
                  <c:v>North</c:v>
                </c:pt>
                <c:pt idx="2">
                  <c:v>South</c:v>
                </c:pt>
                <c:pt idx="3">
                  <c:v>West</c:v>
                </c:pt>
              </c:strCache>
            </c:strRef>
          </c:cat>
          <c:val>
            <c:numRef>
              <c:f>Sheet2!$F$4:$F$8</c:f>
              <c:numCache>
                <c:formatCode>General</c:formatCode>
                <c:ptCount val="4"/>
                <c:pt idx="0">
                  <c:v>13500</c:v>
                </c:pt>
                <c:pt idx="1">
                  <c:v>17000</c:v>
                </c:pt>
                <c:pt idx="2">
                  <c:v>16000</c:v>
                </c:pt>
                <c:pt idx="3">
                  <c:v>20000</c:v>
                </c:pt>
              </c:numCache>
            </c:numRef>
          </c:val>
          <c:extLst>
            <c:ext xmlns:c16="http://schemas.microsoft.com/office/drawing/2014/chart" uri="{C3380CC4-5D6E-409C-BE32-E72D297353CC}">
              <c16:uniqueId val="{00000008-D183-40B0-9E26-1AE1462259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c.xlsx]Sheet2!PivotTable3</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Sheet2!$M$4:$M$14</c:f>
              <c:multiLvlStrCache>
                <c:ptCount val="6"/>
                <c:lvl>
                  <c:pt idx="0">
                    <c:v>Finance</c:v>
                  </c:pt>
                  <c:pt idx="1">
                    <c:v>Sales</c:v>
                  </c:pt>
                  <c:pt idx="2">
                    <c:v>HR</c:v>
                  </c:pt>
                  <c:pt idx="3">
                    <c:v>IT</c:v>
                  </c:pt>
                  <c:pt idx="4">
                    <c:v>HR</c:v>
                  </c:pt>
                  <c:pt idx="5">
                    <c:v>IT</c:v>
                  </c:pt>
                </c:lvl>
                <c:lvl>
                  <c:pt idx="0">
                    <c:v>East</c:v>
                  </c:pt>
                  <c:pt idx="1">
                    <c:v>North</c:v>
                  </c:pt>
                  <c:pt idx="2">
                    <c:v>South</c:v>
                  </c:pt>
                  <c:pt idx="4">
                    <c:v>West</c:v>
                  </c:pt>
                </c:lvl>
              </c:multiLvlStrCache>
            </c:multiLvlStrRef>
          </c:cat>
          <c:val>
            <c:numRef>
              <c:f>Sheet2!$N$4:$N$14</c:f>
              <c:numCache>
                <c:formatCode>General</c:formatCode>
                <c:ptCount val="6"/>
                <c:pt idx="0">
                  <c:v>13500</c:v>
                </c:pt>
                <c:pt idx="1">
                  <c:v>17000</c:v>
                </c:pt>
                <c:pt idx="2">
                  <c:v>4000</c:v>
                </c:pt>
                <c:pt idx="3">
                  <c:v>12000</c:v>
                </c:pt>
                <c:pt idx="4">
                  <c:v>5000</c:v>
                </c:pt>
                <c:pt idx="5">
                  <c:v>15000</c:v>
                </c:pt>
              </c:numCache>
            </c:numRef>
          </c:val>
          <c:extLst>
            <c:ext xmlns:c16="http://schemas.microsoft.com/office/drawing/2014/chart" uri="{C3380CC4-5D6E-409C-BE32-E72D297353CC}">
              <c16:uniqueId val="{00000000-E8F5-48E3-AE6C-21F2985AB026}"/>
            </c:ext>
          </c:extLst>
        </c:ser>
        <c:dLbls>
          <c:dLblPos val="inEnd"/>
          <c:showLegendKey val="0"/>
          <c:showVal val="1"/>
          <c:showCatName val="0"/>
          <c:showSerName val="0"/>
          <c:showPercent val="0"/>
          <c:showBubbleSize val="0"/>
        </c:dLbls>
        <c:gapWidth val="65"/>
        <c:axId val="1709541359"/>
        <c:axId val="1709558639"/>
      </c:barChart>
      <c:catAx>
        <c:axId val="1709541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9558639"/>
        <c:crosses val="autoZero"/>
        <c:auto val="1"/>
        <c:lblAlgn val="ctr"/>
        <c:lblOffset val="100"/>
        <c:noMultiLvlLbl val="0"/>
      </c:catAx>
      <c:valAx>
        <c:axId val="170955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09541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33337</xdr:rowOff>
    </xdr:from>
    <xdr:to>
      <xdr:col>4</xdr:col>
      <xdr:colOff>495300</xdr:colOff>
      <xdr:row>23</xdr:row>
      <xdr:rowOff>109537</xdr:rowOff>
    </xdr:to>
    <xdr:graphicFrame macro="">
      <xdr:nvGraphicFramePr>
        <xdr:cNvPr id="2" name="Chart 1">
          <a:extLst>
            <a:ext uri="{FF2B5EF4-FFF2-40B4-BE49-F238E27FC236}">
              <a16:creationId xmlns:a16="http://schemas.microsoft.com/office/drawing/2014/main" id="{0F41F747-5BF5-7839-E353-0592953AB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8</xdr:row>
      <xdr:rowOff>147637</xdr:rowOff>
    </xdr:from>
    <xdr:to>
      <xdr:col>11</xdr:col>
      <xdr:colOff>228600</xdr:colOff>
      <xdr:row>23</xdr:row>
      <xdr:rowOff>33337</xdr:rowOff>
    </xdr:to>
    <xdr:graphicFrame macro="">
      <xdr:nvGraphicFramePr>
        <xdr:cNvPr id="3" name="Chart 2">
          <a:extLst>
            <a:ext uri="{FF2B5EF4-FFF2-40B4-BE49-F238E27FC236}">
              <a16:creationId xmlns:a16="http://schemas.microsoft.com/office/drawing/2014/main" id="{E9E72FEC-B0C3-28C3-5BF0-A4337CA91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447675</xdr:colOff>
      <xdr:row>15</xdr:row>
      <xdr:rowOff>90487</xdr:rowOff>
    </xdr:from>
    <xdr:to>
      <xdr:col>18</xdr:col>
      <xdr:colOff>219075</xdr:colOff>
      <xdr:row>29</xdr:row>
      <xdr:rowOff>166687</xdr:rowOff>
    </xdr:to>
    <xdr:graphicFrame macro="">
      <xdr:nvGraphicFramePr>
        <xdr:cNvPr id="4" name="Chart 3">
          <a:extLst>
            <a:ext uri="{FF2B5EF4-FFF2-40B4-BE49-F238E27FC236}">
              <a16:creationId xmlns:a16="http://schemas.microsoft.com/office/drawing/2014/main" id="{1FBE7E65-4449-8416-859B-03D5617E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7</xdr:row>
      <xdr:rowOff>47625</xdr:rowOff>
    </xdr:from>
    <xdr:to>
      <xdr:col>6</xdr:col>
      <xdr:colOff>152400</xdr:colOff>
      <xdr:row>21</xdr:row>
      <xdr:rowOff>123825</xdr:rowOff>
    </xdr:to>
    <xdr:graphicFrame macro="">
      <xdr:nvGraphicFramePr>
        <xdr:cNvPr id="2" name="Chart 1">
          <a:extLst>
            <a:ext uri="{FF2B5EF4-FFF2-40B4-BE49-F238E27FC236}">
              <a16:creationId xmlns:a16="http://schemas.microsoft.com/office/drawing/2014/main" id="{6E895EB9-43AF-4719-B860-5FD135201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xdr:colOff>
      <xdr:row>6</xdr:row>
      <xdr:rowOff>142875</xdr:rowOff>
    </xdr:from>
    <xdr:to>
      <xdr:col>20</xdr:col>
      <xdr:colOff>333375</xdr:colOff>
      <xdr:row>21</xdr:row>
      <xdr:rowOff>28575</xdr:rowOff>
    </xdr:to>
    <xdr:graphicFrame macro="">
      <xdr:nvGraphicFramePr>
        <xdr:cNvPr id="3" name="Chart 2">
          <a:extLst>
            <a:ext uri="{FF2B5EF4-FFF2-40B4-BE49-F238E27FC236}">
              <a16:creationId xmlns:a16="http://schemas.microsoft.com/office/drawing/2014/main" id="{1C9FD10F-7DD7-4633-A829-98639E3E8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200025</xdr:colOff>
      <xdr:row>23</xdr:row>
      <xdr:rowOff>38100</xdr:rowOff>
    </xdr:from>
    <xdr:to>
      <xdr:col>13</xdr:col>
      <xdr:colOff>504825</xdr:colOff>
      <xdr:row>37</xdr:row>
      <xdr:rowOff>114300</xdr:rowOff>
    </xdr:to>
    <xdr:graphicFrame macro="">
      <xdr:nvGraphicFramePr>
        <xdr:cNvPr id="4" name="Chart 3">
          <a:extLst>
            <a:ext uri="{FF2B5EF4-FFF2-40B4-BE49-F238E27FC236}">
              <a16:creationId xmlns:a16="http://schemas.microsoft.com/office/drawing/2014/main" id="{56BAD9C7-7EEC-48F0-8AC4-27A0938E6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590550</xdr:colOff>
      <xdr:row>8</xdr:row>
      <xdr:rowOff>114301</xdr:rowOff>
    </xdr:from>
    <xdr:to>
      <xdr:col>10</xdr:col>
      <xdr:colOff>590550</xdr:colOff>
      <xdr:row>16</xdr:row>
      <xdr:rowOff>114301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F171FB6-A0BC-FC62-042E-0F8D1813C4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57750" y="163830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514350</xdr:colOff>
      <xdr:row>0</xdr:row>
      <xdr:rowOff>0</xdr:rowOff>
    </xdr:from>
    <xdr:to>
      <xdr:col>18</xdr:col>
      <xdr:colOff>266700</xdr:colOff>
      <xdr:row>2</xdr:row>
      <xdr:rowOff>114300</xdr:rowOff>
    </xdr:to>
    <xdr:sp macro="" textlink="">
      <xdr:nvSpPr>
        <xdr:cNvPr id="6" name="TextBox 5">
          <a:extLst>
            <a:ext uri="{FF2B5EF4-FFF2-40B4-BE49-F238E27FC236}">
              <a16:creationId xmlns:a16="http://schemas.microsoft.com/office/drawing/2014/main" id="{757CF217-60F1-52D6-BBDB-70D453D44261}"/>
            </a:ext>
          </a:extLst>
        </xdr:cNvPr>
        <xdr:cNvSpPr txBox="1"/>
      </xdr:nvSpPr>
      <xdr:spPr>
        <a:xfrm>
          <a:off x="7829550" y="0"/>
          <a:ext cx="34099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a:t>
          </a:r>
          <a:r>
            <a:rPr lang="en-IN" sz="2400" baseline="0"/>
            <a:t> Bonus</a:t>
          </a:r>
          <a:endParaRPr lang="en-IN" sz="2400"/>
        </a:p>
      </xdr:txBody>
    </xdr:sp>
    <xdr:clientData/>
  </xdr:twoCellAnchor>
  <xdr:twoCellAnchor>
    <xdr:from>
      <xdr:col>12</xdr:col>
      <xdr:colOff>533400</xdr:colOff>
      <xdr:row>3</xdr:row>
      <xdr:rowOff>114300</xdr:rowOff>
    </xdr:from>
    <xdr:to>
      <xdr:col>18</xdr:col>
      <xdr:colOff>285750</xdr:colOff>
      <xdr:row>6</xdr:row>
      <xdr:rowOff>38100</xdr:rowOff>
    </xdr:to>
    <xdr:sp macro="" textlink="">
      <xdr:nvSpPr>
        <xdr:cNvPr id="7" name="TextBox 6">
          <a:extLst>
            <a:ext uri="{FF2B5EF4-FFF2-40B4-BE49-F238E27FC236}">
              <a16:creationId xmlns:a16="http://schemas.microsoft.com/office/drawing/2014/main" id="{B157D50A-3348-4F22-B104-EA5D7544A9BB}"/>
            </a:ext>
          </a:extLst>
        </xdr:cNvPr>
        <xdr:cNvSpPr txBox="1"/>
      </xdr:nvSpPr>
      <xdr:spPr>
        <a:xfrm>
          <a:off x="7848600" y="685800"/>
          <a:ext cx="34099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mn-lt"/>
              <a:ea typeface="+mn-ea"/>
              <a:cs typeface="+mn-cs"/>
            </a:rPr>
            <a:t>66500</a:t>
          </a:r>
          <a:r>
            <a:rPr lang="en-IN" sz="2400">
              <a:effectLst/>
            </a:rPr>
            <a:t> </a:t>
          </a:r>
          <a:endParaRPr lang="en-IN" sz="2400"/>
        </a:p>
      </xdr:txBody>
    </xdr:sp>
    <xdr:clientData/>
  </xdr:twoCellAnchor>
  <xdr:twoCellAnchor>
    <xdr:from>
      <xdr:col>0</xdr:col>
      <xdr:colOff>381000</xdr:colOff>
      <xdr:row>0</xdr:row>
      <xdr:rowOff>133350</xdr:rowOff>
    </xdr:from>
    <xdr:to>
      <xdr:col>6</xdr:col>
      <xdr:colOff>133350</xdr:colOff>
      <xdr:row>3</xdr:row>
      <xdr:rowOff>57150</xdr:rowOff>
    </xdr:to>
    <xdr:sp macro="" textlink="">
      <xdr:nvSpPr>
        <xdr:cNvPr id="8" name="TextBox 7">
          <a:extLst>
            <a:ext uri="{FF2B5EF4-FFF2-40B4-BE49-F238E27FC236}">
              <a16:creationId xmlns:a16="http://schemas.microsoft.com/office/drawing/2014/main" id="{2A248E4E-C3E5-4B34-A32F-E10EED92F56D}"/>
            </a:ext>
          </a:extLst>
        </xdr:cNvPr>
        <xdr:cNvSpPr txBox="1"/>
      </xdr:nvSpPr>
      <xdr:spPr>
        <a:xfrm>
          <a:off x="381000" y="133350"/>
          <a:ext cx="34099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Average</a:t>
          </a:r>
          <a:r>
            <a:rPr lang="en-IN" sz="2400" baseline="0"/>
            <a:t> Salary</a:t>
          </a:r>
          <a:endParaRPr lang="en-IN" sz="2400"/>
        </a:p>
      </xdr:txBody>
    </xdr:sp>
    <xdr:clientData/>
  </xdr:twoCellAnchor>
  <xdr:twoCellAnchor>
    <xdr:from>
      <xdr:col>0</xdr:col>
      <xdr:colOff>381000</xdr:colOff>
      <xdr:row>4</xdr:row>
      <xdr:rowOff>47625</xdr:rowOff>
    </xdr:from>
    <xdr:to>
      <xdr:col>6</xdr:col>
      <xdr:colOff>133350</xdr:colOff>
      <xdr:row>6</xdr:row>
      <xdr:rowOff>161925</xdr:rowOff>
    </xdr:to>
    <xdr:sp macro="" textlink="">
      <xdr:nvSpPr>
        <xdr:cNvPr id="9" name="TextBox 8">
          <a:extLst>
            <a:ext uri="{FF2B5EF4-FFF2-40B4-BE49-F238E27FC236}">
              <a16:creationId xmlns:a16="http://schemas.microsoft.com/office/drawing/2014/main" id="{EDE924BC-587B-4BDB-ADFA-F70577DD72CC}"/>
            </a:ext>
          </a:extLst>
        </xdr:cNvPr>
        <xdr:cNvSpPr txBox="1"/>
      </xdr:nvSpPr>
      <xdr:spPr>
        <a:xfrm>
          <a:off x="381000" y="809625"/>
          <a:ext cx="34099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dk1"/>
              </a:solidFill>
              <a:effectLst/>
              <a:latin typeface="+mn-lt"/>
              <a:ea typeface="+mn-ea"/>
              <a:cs typeface="+mn-cs"/>
            </a:rPr>
            <a:t>75875</a:t>
          </a:r>
          <a:r>
            <a:rPr lang="en-IN" sz="2400">
              <a:effectLst/>
            </a:rPr>
            <a:t> </a:t>
          </a:r>
          <a:endParaRPr lang="en-IN" sz="2400"/>
        </a:p>
      </xdr:txBody>
    </xdr:sp>
    <xdr:clientData/>
  </xdr:twoCellAnchor>
  <xdr:twoCellAnchor>
    <xdr:from>
      <xdr:col>7</xdr:col>
      <xdr:colOff>0</xdr:colOff>
      <xdr:row>1</xdr:row>
      <xdr:rowOff>0</xdr:rowOff>
    </xdr:from>
    <xdr:to>
      <xdr:col>12</xdr:col>
      <xdr:colOff>361950</xdr:colOff>
      <xdr:row>3</xdr:row>
      <xdr:rowOff>114300</xdr:rowOff>
    </xdr:to>
    <xdr:sp macro="" textlink="">
      <xdr:nvSpPr>
        <xdr:cNvPr id="10" name="TextBox 9">
          <a:extLst>
            <a:ext uri="{FF2B5EF4-FFF2-40B4-BE49-F238E27FC236}">
              <a16:creationId xmlns:a16="http://schemas.microsoft.com/office/drawing/2014/main" id="{47DD1C20-E71C-4159-A87D-F401E5E8D3FC}"/>
            </a:ext>
          </a:extLst>
        </xdr:cNvPr>
        <xdr:cNvSpPr txBox="1"/>
      </xdr:nvSpPr>
      <xdr:spPr>
        <a:xfrm>
          <a:off x="4267200" y="190500"/>
          <a:ext cx="34099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aseline="0"/>
            <a:t>Salary Dashboard</a:t>
          </a:r>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 refreshedDate="46194.443912152776" createdVersion="8" refreshedVersion="8" minRefreshableVersion="3" recordCount="8" xr:uid="{E5DDC132-68BF-47A2-8E9C-4F09709475B4}">
  <cacheSource type="worksheet">
    <worksheetSource name="Table1"/>
  </cacheSource>
  <cacheFields count="10">
    <cacheField name="Employee_ID  " numFmtId="0">
      <sharedItems/>
    </cacheField>
    <cacheField name="Employee_Name" numFmtId="0">
      <sharedItems/>
    </cacheField>
    <cacheField name=" Department " numFmtId="0">
      <sharedItems count="4">
        <s v="Sales"/>
        <s v="HR"/>
        <s v="IT"/>
        <s v="Finance"/>
      </sharedItems>
    </cacheField>
    <cacheField name="Salary" numFmtId="0">
      <sharedItems containsSemiMixedTypes="0" containsString="0" containsNumber="1" containsInteger="1" minValue="59000" maxValue="97000"/>
    </cacheField>
    <cacheField name="Bonus" numFmtId="0">
      <sharedItems containsSemiMixedTypes="0" containsString="0" containsNumber="1" containsInteger="1" minValue="4000" maxValue="15000"/>
    </cacheField>
    <cacheField name=" Joining_Date " numFmtId="14">
      <sharedItems containsSemiMixedTypes="0" containsNonDate="0" containsDate="1" containsString="0" minDate="2018-02-14T00:00:00" maxDate="2023-05-04T00:00:00"/>
    </cacheField>
    <cacheField name="Region" numFmtId="0">
      <sharedItems count="4">
        <s v="North"/>
        <s v="West"/>
        <s v="South"/>
        <s v="East"/>
      </sharedItems>
    </cacheField>
    <cacheField name="Total Compensation" numFmtId="0">
      <sharedItems containsSemiMixedTypes="0" containsString="0" containsNumber="1" containsInteger="1" minValue="63000" maxValue="112000"/>
    </cacheField>
    <cacheField name="Joining Year" numFmtId="0">
      <sharedItems containsSemiMixedTypes="0" containsString="0" containsNumber="1" containsInteger="1" minValue="2018" maxValue="2023"/>
    </cacheField>
    <cacheField name="New Department" numFmtId="0">
      <sharedItems/>
    </cacheField>
  </cacheFields>
  <extLst>
    <ext xmlns:x14="http://schemas.microsoft.com/office/spreadsheetml/2009/9/main" uri="{725AE2AE-9491-48be-B2B4-4EB974FC3084}">
      <x14:pivotCacheDefinition pivotCacheId="234031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E101"/>
    <s v="Rahul"/>
    <x v="0"/>
    <n v="75000"/>
    <n v="8000"/>
    <d v="2021-01-12T00:00:00"/>
    <x v="0"/>
    <n v="83000"/>
    <n v="2021"/>
    <s v="HR"/>
  </r>
  <r>
    <s v="E102"/>
    <s v="Priya"/>
    <x v="1"/>
    <n v="62000"/>
    <n v="5000"/>
    <d v="2020-03-05T00:00:00"/>
    <x v="1"/>
    <n v="67000"/>
    <n v="2020"/>
    <s v="HR"/>
  </r>
  <r>
    <s v="E103"/>
    <s v="Aman"/>
    <x v="2"/>
    <n v="91000"/>
    <n v="12000"/>
    <d v="2019-07-18T00:00:00"/>
    <x v="2"/>
    <n v="103000"/>
    <n v="2019"/>
    <s v="IT"/>
  </r>
  <r>
    <s v="E104"/>
    <s v="Neha"/>
    <x v="3"/>
    <n v="68000"/>
    <n v="7000"/>
    <d v="2022-09-25T00:00:00"/>
    <x v="3"/>
    <n v="75000"/>
    <n v="2022"/>
    <s v="Finance"/>
  </r>
  <r>
    <s v="E105"/>
    <s v="Karan"/>
    <x v="0"/>
    <n v="83000"/>
    <n v="9000"/>
    <d v="2021-11-10T00:00:00"/>
    <x v="0"/>
    <n v="92000"/>
    <n v="2021"/>
    <s v="Sales"/>
  </r>
  <r>
    <s v="E106"/>
    <s v="Simran"/>
    <x v="2"/>
    <n v="97000"/>
    <n v="15000"/>
    <d v="2018-02-14T00:00:00"/>
    <x v="1"/>
    <n v="112000"/>
    <n v="2018"/>
    <s v="IT"/>
  </r>
  <r>
    <s v="E107"/>
    <s v="Mohit"/>
    <x v="1"/>
    <n v="59000"/>
    <n v="4000"/>
    <d v="2023-05-03T00:00:00"/>
    <x v="2"/>
    <n v="63000"/>
    <n v="2023"/>
    <s v="HR"/>
  </r>
  <r>
    <s v="E108"/>
    <s v="Anjali"/>
    <x v="3"/>
    <n v="72000"/>
    <n v="6500"/>
    <d v="2020-06-20T00:00:00"/>
    <x v="3"/>
    <n v="78500"/>
    <n v="2020"/>
    <s v="Fina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C814C-9A4B-4BE2-AA28-7A2BCF8CD70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3:N14" firstHeaderRow="1" firstDataRow="1" firstDataCol="1"/>
  <pivotFields count="10">
    <pivotField showAll="0"/>
    <pivotField showAll="0"/>
    <pivotField axis="axisRow" multipleItemSelectionAllowed="1" showAll="0">
      <items count="5">
        <item x="3"/>
        <item x="1"/>
        <item x="2"/>
        <item x="0"/>
        <item t="default"/>
      </items>
    </pivotField>
    <pivotField showAll="0"/>
    <pivotField dataField="1" showAll="0"/>
    <pivotField numFmtId="14" showAll="0"/>
    <pivotField axis="axisRow" showAll="0">
      <items count="5">
        <item x="3"/>
        <item x="0"/>
        <item x="2"/>
        <item x="1"/>
        <item t="default"/>
      </items>
    </pivotField>
    <pivotField showAll="0"/>
    <pivotField showAll="0"/>
    <pivotField showAll="0"/>
  </pivotFields>
  <rowFields count="2">
    <field x="6"/>
    <field x="2"/>
  </rowFields>
  <rowItems count="11">
    <i>
      <x/>
    </i>
    <i r="1">
      <x/>
    </i>
    <i>
      <x v="1"/>
    </i>
    <i r="1">
      <x v="3"/>
    </i>
    <i>
      <x v="2"/>
    </i>
    <i r="1">
      <x v="1"/>
    </i>
    <i r="1">
      <x v="2"/>
    </i>
    <i>
      <x v="3"/>
    </i>
    <i r="1">
      <x v="1"/>
    </i>
    <i r="1">
      <x v="2"/>
    </i>
    <i t="grand">
      <x/>
    </i>
  </rowItems>
  <colItems count="1">
    <i/>
  </colItems>
  <dataFields count="1">
    <dataField name="Sum of Bonus" fld="4" baseField="0" baseItem="0"/>
  </dataFields>
  <chartFormats count="8">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 chart="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1494A-55C1-48EF-9062-5DAB046221B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8" firstHeaderRow="1" firstDataRow="1" firstDataCol="1"/>
  <pivotFields count="10">
    <pivotField showAll="0"/>
    <pivotField showAll="0"/>
    <pivotField multipleItemSelectionAllowed="1" showAll="0">
      <items count="5">
        <item x="3"/>
        <item x="1"/>
        <item x="2"/>
        <item x="0"/>
        <item t="default"/>
      </items>
    </pivotField>
    <pivotField showAll="0"/>
    <pivotField dataField="1" showAll="0"/>
    <pivotField numFmtId="14" showAll="0"/>
    <pivotField axis="axisRow" showAll="0">
      <items count="5">
        <item x="3"/>
        <item x="0"/>
        <item x="2"/>
        <item x="1"/>
        <item t="default"/>
      </items>
    </pivotField>
    <pivotField showAll="0"/>
    <pivotField showAll="0"/>
    <pivotField showAll="0"/>
  </pivotFields>
  <rowFields count="1">
    <field x="6"/>
  </rowFields>
  <rowItems count="5">
    <i>
      <x/>
    </i>
    <i>
      <x v="1"/>
    </i>
    <i>
      <x v="2"/>
    </i>
    <i>
      <x v="3"/>
    </i>
    <i t="grand">
      <x/>
    </i>
  </rowItems>
  <colItems count="1">
    <i/>
  </colItems>
  <dataFields count="1">
    <dataField name="Sum of Bonus" fld="4" baseField="0" baseItem="0"/>
  </dataFields>
  <chartFormats count="6">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0A90C-CA64-4E49-B289-4F7A30C792E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showAll="0"/>
    <pivotField showAll="0"/>
    <pivotField axis="axisRow" multipleItemSelectionAllowed="1" showAll="0">
      <items count="5">
        <item x="3"/>
        <item x="1"/>
        <item x="2"/>
        <item x="0"/>
        <item t="default"/>
      </items>
    </pivotField>
    <pivotField dataField="1" showAll="0"/>
    <pivotField showAll="0"/>
    <pivotField numFmtId="14" showAll="0"/>
    <pivotField showAll="0">
      <items count="5">
        <item x="3"/>
        <item x="0"/>
        <item x="2"/>
        <item x="1"/>
        <item t="default"/>
      </items>
    </pivotField>
    <pivotField showAll="0"/>
    <pivotField showAll="0"/>
    <pivotField showAll="0"/>
  </pivotFields>
  <rowFields count="1">
    <field x="2"/>
  </rowFields>
  <rowItems count="5">
    <i>
      <x/>
    </i>
    <i>
      <x v="1"/>
    </i>
    <i>
      <x v="2"/>
    </i>
    <i>
      <x v="3"/>
    </i>
    <i t="grand">
      <x/>
    </i>
  </rowItems>
  <colItems count="1">
    <i/>
  </colItems>
  <dataFields count="1">
    <dataField name="Average of Salary" fld="3"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043C44-7068-4F1A-9FF1-AAB5DC9DC924}" sourceName="Region">
  <pivotTables>
    <pivotTable tabId="2" name="PivotTable3"/>
    <pivotTable tabId="2" name="PivotTable1"/>
    <pivotTable tabId="2" name="PivotTable2"/>
  </pivotTables>
  <data>
    <tabular pivotCacheId="23403115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3E3D56-13FD-40F0-BC83-F8EA78B56CE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AE5974-AEAD-4AED-81D4-52B879722D52}" name="Table2" displayName="Table2" ref="A3:J11" totalsRowShown="0">
  <autoFilter ref="A3:J11" xr:uid="{80AE5974-AEAD-4AED-81D4-52B879722D52}"/>
  <tableColumns count="10">
    <tableColumn id="1" xr3:uid="{006E8831-7446-4752-B477-32CD74C3B526}" name="Employee_ID  "/>
    <tableColumn id="2" xr3:uid="{2537D4A3-9F35-4DB8-AA1C-041281A7B8C6}" name="Employee_Name"/>
    <tableColumn id="3" xr3:uid="{C3EEDAEC-3445-4910-BABC-04BED809CC49}" name=" Department "/>
    <tableColumn id="4" xr3:uid="{65D53644-70C1-44B0-AC67-C81A8E26EB0E}" name="Salary"/>
    <tableColumn id="5" xr3:uid="{FDD9FF96-BC71-48DD-96F9-2F0E9E534DDF}" name="Bonus"/>
    <tableColumn id="6" xr3:uid="{E0198DC8-423F-418E-8DE2-D8F60DCAFD16}" name=" Joining_Date " dataDxfId="0"/>
    <tableColumn id="7" xr3:uid="{582780D2-9584-421B-8C85-F4A4FED5DEB4}" name="Region"/>
    <tableColumn id="8" xr3:uid="{1B23CD83-C075-46B5-999A-8DA5BB74E310}" name="Total Compensation"/>
    <tableColumn id="9" xr3:uid="{F8266C90-F6D2-4311-9B3A-B5FAA6A61AE9}" name="Joining Year"/>
    <tableColumn id="10" xr3:uid="{D4F4590F-8CED-46B2-8540-C45252F95E0A}" name="New Depart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B4520-8FB1-43DF-8749-2588DAE3587F}" name="Table1" displayName="Table1" ref="A1:J9" totalsRowShown="0">
  <autoFilter ref="A1:J9" xr:uid="{A7CB4520-8FB1-43DF-8749-2588DAE3587F}"/>
  <tableColumns count="10">
    <tableColumn id="1" xr3:uid="{8F14F1EA-0442-4CAD-BD80-2B758F141CA2}" name="Employee_ID  "/>
    <tableColumn id="2" xr3:uid="{1736966C-BF69-45C2-8778-32B6FF87D55B}" name="Employee_Name"/>
    <tableColumn id="3" xr3:uid="{49B80E1D-47DD-4846-8AB9-F10409A02448}" name=" Department "/>
    <tableColumn id="4" xr3:uid="{CFCF7CB1-1647-4D36-8454-9EA846531902}" name="Salary"/>
    <tableColumn id="5" xr3:uid="{A2FA177D-E0C7-4932-A811-7BDA4FC79511}" name="Bonus"/>
    <tableColumn id="6" xr3:uid="{0976AEDD-44B6-4CF9-94F7-E112DA9006B6}" name=" Joining_Date " dataDxfId="5"/>
    <tableColumn id="7" xr3:uid="{4D706991-E0D7-47B0-A48A-8D086F76D9CA}" name="Region"/>
    <tableColumn id="8" xr3:uid="{CB89F7B6-CE98-4191-AE7A-6932781FA8A0}" name="Total Compensation" dataDxfId="4">
      <calculatedColumnFormula>SUM(Table1[[#This Row],[Salary]:[Bonus]])</calculatedColumnFormula>
    </tableColumn>
    <tableColumn id="9" xr3:uid="{E2AB37A2-B833-476E-97F6-2325C42EE79B}" name="Joining Year" dataDxfId="3">
      <calculatedColumnFormula>YEAR(Table1[[#This Row],[ Joining_Date ]])</calculatedColumnFormula>
    </tableColumn>
    <tableColumn id="10" xr3:uid="{5593BD6C-472B-4010-B11B-51A336A5E579}" name="New 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87CA-3A5A-4A00-A5B2-AA70929CEF26}">
  <dimension ref="A1:J11"/>
  <sheetViews>
    <sheetView workbookViewId="0">
      <selection activeCell="A3" sqref="A3:J11"/>
    </sheetView>
  </sheetViews>
  <sheetFormatPr defaultRowHeight="15" x14ac:dyDescent="0.25"/>
  <cols>
    <col min="1" max="1" width="16" bestFit="1" customWidth="1"/>
    <col min="2" max="2" width="18.5703125" bestFit="1" customWidth="1"/>
    <col min="3" max="3" width="14.85546875" bestFit="1" customWidth="1"/>
    <col min="4" max="5" width="9.28515625" bestFit="1" customWidth="1"/>
    <col min="6" max="6" width="15.7109375" bestFit="1" customWidth="1"/>
    <col min="7" max="7" width="9.42578125" bestFit="1" customWidth="1"/>
    <col min="8" max="8" width="21.28515625" bestFit="1" customWidth="1"/>
    <col min="9" max="9" width="14" bestFit="1" customWidth="1"/>
    <col min="10" max="10" width="18.7109375" bestFit="1" customWidth="1"/>
  </cols>
  <sheetData>
    <row r="1" spans="1:10" x14ac:dyDescent="0.25">
      <c r="A1" s="6" t="s">
        <v>38</v>
      </c>
    </row>
    <row r="3" spans="1:10" x14ac:dyDescent="0.25">
      <c r="A3" t="s">
        <v>3</v>
      </c>
      <c r="B3" t="s">
        <v>0</v>
      </c>
      <c r="C3" t="s">
        <v>26</v>
      </c>
      <c r="D3" t="s">
        <v>25</v>
      </c>
      <c r="E3" t="s">
        <v>1</v>
      </c>
      <c r="F3" t="s">
        <v>2</v>
      </c>
      <c r="G3" t="s">
        <v>4</v>
      </c>
      <c r="H3" t="s">
        <v>31</v>
      </c>
      <c r="I3" t="s">
        <v>32</v>
      </c>
      <c r="J3" t="s">
        <v>33</v>
      </c>
    </row>
    <row r="4" spans="1:10" x14ac:dyDescent="0.25">
      <c r="A4" t="s">
        <v>8</v>
      </c>
      <c r="B4" t="s">
        <v>16</v>
      </c>
      <c r="C4" t="s">
        <v>24</v>
      </c>
      <c r="D4">
        <v>68000</v>
      </c>
      <c r="E4">
        <v>7000</v>
      </c>
      <c r="F4" s="1">
        <v>44829</v>
      </c>
      <c r="G4" t="s">
        <v>30</v>
      </c>
      <c r="H4">
        <v>75000</v>
      </c>
      <c r="I4">
        <v>2022</v>
      </c>
      <c r="J4" t="s">
        <v>24</v>
      </c>
    </row>
    <row r="5" spans="1:10" x14ac:dyDescent="0.25">
      <c r="A5" t="s">
        <v>12</v>
      </c>
      <c r="B5" t="s">
        <v>20</v>
      </c>
      <c r="C5" t="s">
        <v>24</v>
      </c>
      <c r="D5">
        <v>72000</v>
      </c>
      <c r="E5">
        <v>6500</v>
      </c>
      <c r="F5" s="1">
        <v>44002</v>
      </c>
      <c r="G5" t="s">
        <v>30</v>
      </c>
      <c r="H5">
        <v>78500</v>
      </c>
      <c r="I5">
        <v>2020</v>
      </c>
      <c r="J5" t="s">
        <v>24</v>
      </c>
    </row>
    <row r="6" spans="1:10" x14ac:dyDescent="0.25">
      <c r="A6" t="s">
        <v>6</v>
      </c>
      <c r="B6" t="s">
        <v>14</v>
      </c>
      <c r="C6" t="s">
        <v>22</v>
      </c>
      <c r="D6">
        <v>62000</v>
      </c>
      <c r="E6">
        <v>5000</v>
      </c>
      <c r="F6" s="1">
        <v>43895</v>
      </c>
      <c r="G6" t="s">
        <v>28</v>
      </c>
      <c r="H6">
        <v>67000</v>
      </c>
      <c r="I6">
        <v>2020</v>
      </c>
      <c r="J6" t="s">
        <v>22</v>
      </c>
    </row>
    <row r="7" spans="1:10" x14ac:dyDescent="0.25">
      <c r="A7" t="s">
        <v>11</v>
      </c>
      <c r="B7" t="s">
        <v>19</v>
      </c>
      <c r="C7" t="s">
        <v>22</v>
      </c>
      <c r="D7">
        <v>59000</v>
      </c>
      <c r="E7">
        <v>4000</v>
      </c>
      <c r="F7" s="1">
        <v>45049</v>
      </c>
      <c r="G7" t="s">
        <v>29</v>
      </c>
      <c r="H7">
        <v>63000</v>
      </c>
      <c r="I7">
        <v>2023</v>
      </c>
      <c r="J7" t="s">
        <v>22</v>
      </c>
    </row>
    <row r="8" spans="1:10" x14ac:dyDescent="0.25">
      <c r="A8" t="s">
        <v>7</v>
      </c>
      <c r="B8" t="s">
        <v>15</v>
      </c>
      <c r="C8" t="s">
        <v>23</v>
      </c>
      <c r="D8">
        <v>91000</v>
      </c>
      <c r="E8">
        <v>12000</v>
      </c>
      <c r="F8" s="1">
        <v>43664</v>
      </c>
      <c r="G8" t="s">
        <v>29</v>
      </c>
      <c r="H8">
        <v>103000</v>
      </c>
      <c r="I8">
        <v>2019</v>
      </c>
      <c r="J8" t="s">
        <v>23</v>
      </c>
    </row>
    <row r="9" spans="1:10" x14ac:dyDescent="0.25">
      <c r="A9" t="s">
        <v>10</v>
      </c>
      <c r="B9" t="s">
        <v>18</v>
      </c>
      <c r="C9" t="s">
        <v>23</v>
      </c>
      <c r="D9">
        <v>97000</v>
      </c>
      <c r="E9">
        <v>15000</v>
      </c>
      <c r="F9" s="1">
        <v>43145</v>
      </c>
      <c r="G9" t="s">
        <v>28</v>
      </c>
      <c r="H9">
        <v>112000</v>
      </c>
      <c r="I9">
        <v>2018</v>
      </c>
      <c r="J9" t="s">
        <v>23</v>
      </c>
    </row>
    <row r="10" spans="1:10" x14ac:dyDescent="0.25">
      <c r="A10" t="s">
        <v>5</v>
      </c>
      <c r="B10" t="s">
        <v>13</v>
      </c>
      <c r="C10" t="s">
        <v>21</v>
      </c>
      <c r="D10">
        <v>75000</v>
      </c>
      <c r="E10">
        <v>8000</v>
      </c>
      <c r="F10" s="1">
        <v>44208</v>
      </c>
      <c r="G10" t="s">
        <v>27</v>
      </c>
      <c r="H10">
        <v>83000</v>
      </c>
      <c r="I10">
        <v>2021</v>
      </c>
      <c r="J10" t="s">
        <v>22</v>
      </c>
    </row>
    <row r="11" spans="1:10" x14ac:dyDescent="0.25">
      <c r="A11" t="s">
        <v>9</v>
      </c>
      <c r="B11" t="s">
        <v>17</v>
      </c>
      <c r="C11" t="s">
        <v>21</v>
      </c>
      <c r="D11">
        <v>83000</v>
      </c>
      <c r="E11">
        <v>9000</v>
      </c>
      <c r="F11" s="1">
        <v>44510</v>
      </c>
      <c r="G11" t="s">
        <v>27</v>
      </c>
      <c r="H11">
        <v>92000</v>
      </c>
      <c r="I11">
        <v>2021</v>
      </c>
      <c r="J1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C726-1B4E-4EBA-902A-16FDBABDD08A}">
  <dimension ref="A3:N14"/>
  <sheetViews>
    <sheetView workbookViewId="0">
      <selection activeCell="B8" sqref="B8"/>
    </sheetView>
  </sheetViews>
  <sheetFormatPr defaultRowHeight="15" x14ac:dyDescent="0.25"/>
  <cols>
    <col min="1" max="1" width="13.140625" bestFit="1" customWidth="1"/>
    <col min="2" max="2" width="16.42578125" bestFit="1" customWidth="1"/>
    <col min="5" max="7" width="13.140625" bestFit="1" customWidth="1"/>
    <col min="13" max="14" width="13.140625" bestFit="1" customWidth="1"/>
  </cols>
  <sheetData>
    <row r="3" spans="1:14" x14ac:dyDescent="0.25">
      <c r="A3" s="2" t="s">
        <v>35</v>
      </c>
      <c r="B3" t="s">
        <v>34</v>
      </c>
      <c r="E3" s="2" t="s">
        <v>35</v>
      </c>
      <c r="F3" t="s">
        <v>37</v>
      </c>
      <c r="M3" s="2" t="s">
        <v>35</v>
      </c>
      <c r="N3" t="s">
        <v>37</v>
      </c>
    </row>
    <row r="4" spans="1:14" x14ac:dyDescent="0.25">
      <c r="A4" s="4" t="s">
        <v>24</v>
      </c>
      <c r="B4" s="3">
        <v>70000</v>
      </c>
      <c r="E4" s="4" t="s">
        <v>30</v>
      </c>
      <c r="F4" s="3">
        <v>13500</v>
      </c>
      <c r="M4" s="4" t="s">
        <v>30</v>
      </c>
      <c r="N4" s="3">
        <v>13500</v>
      </c>
    </row>
    <row r="5" spans="1:14" x14ac:dyDescent="0.25">
      <c r="A5" s="4" t="s">
        <v>22</v>
      </c>
      <c r="B5" s="3">
        <v>60500</v>
      </c>
      <c r="E5" s="4" t="s">
        <v>27</v>
      </c>
      <c r="F5" s="3">
        <v>17000</v>
      </c>
      <c r="M5" s="5" t="s">
        <v>24</v>
      </c>
      <c r="N5" s="3">
        <v>13500</v>
      </c>
    </row>
    <row r="6" spans="1:14" x14ac:dyDescent="0.25">
      <c r="A6" s="4" t="s">
        <v>23</v>
      </c>
      <c r="B6" s="3">
        <v>94000</v>
      </c>
      <c r="E6" s="4" t="s">
        <v>29</v>
      </c>
      <c r="F6" s="3">
        <v>16000</v>
      </c>
      <c r="M6" s="4" t="s">
        <v>27</v>
      </c>
      <c r="N6" s="3">
        <v>17000</v>
      </c>
    </row>
    <row r="7" spans="1:14" x14ac:dyDescent="0.25">
      <c r="A7" s="4" t="s">
        <v>21</v>
      </c>
      <c r="B7" s="3">
        <v>79000</v>
      </c>
      <c r="E7" s="4" t="s">
        <v>28</v>
      </c>
      <c r="F7" s="3">
        <v>20000</v>
      </c>
      <c r="M7" s="5" t="s">
        <v>21</v>
      </c>
      <c r="N7" s="3">
        <v>17000</v>
      </c>
    </row>
    <row r="8" spans="1:14" x14ac:dyDescent="0.25">
      <c r="A8" s="4" t="s">
        <v>36</v>
      </c>
      <c r="B8" s="3">
        <v>75875</v>
      </c>
      <c r="E8" s="4" t="s">
        <v>36</v>
      </c>
      <c r="F8" s="3">
        <v>66500</v>
      </c>
      <c r="M8" s="4" t="s">
        <v>29</v>
      </c>
      <c r="N8" s="3">
        <v>16000</v>
      </c>
    </row>
    <row r="9" spans="1:14" x14ac:dyDescent="0.25">
      <c r="M9" s="5" t="s">
        <v>22</v>
      </c>
      <c r="N9" s="3">
        <v>4000</v>
      </c>
    </row>
    <row r="10" spans="1:14" x14ac:dyDescent="0.25">
      <c r="M10" s="5" t="s">
        <v>23</v>
      </c>
      <c r="N10" s="3">
        <v>12000</v>
      </c>
    </row>
    <row r="11" spans="1:14" x14ac:dyDescent="0.25">
      <c r="M11" s="4" t="s">
        <v>28</v>
      </c>
      <c r="N11" s="3">
        <v>20000</v>
      </c>
    </row>
    <row r="12" spans="1:14" x14ac:dyDescent="0.25">
      <c r="M12" s="5" t="s">
        <v>22</v>
      </c>
      <c r="N12" s="3">
        <v>5000</v>
      </c>
    </row>
    <row r="13" spans="1:14" x14ac:dyDescent="0.25">
      <c r="M13" s="5" t="s">
        <v>23</v>
      </c>
      <c r="N13" s="3">
        <v>15000</v>
      </c>
    </row>
    <row r="14" spans="1:14" x14ac:dyDescent="0.25">
      <c r="M14" s="4" t="s">
        <v>36</v>
      </c>
      <c r="N14" s="3">
        <v>66500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8EB3-F57A-421C-909F-EB776F67AA57}">
  <dimension ref="A1"/>
  <sheetViews>
    <sheetView tabSelected="1" topLeftCell="A15" workbookViewId="0">
      <selection activeCell="R26" sqref="R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2975-414E-457C-8908-5AD89D612571}">
  <dimension ref="A1:J9"/>
  <sheetViews>
    <sheetView workbookViewId="0">
      <selection sqref="A1:G9"/>
    </sheetView>
  </sheetViews>
  <sheetFormatPr defaultRowHeight="15" x14ac:dyDescent="0.25"/>
  <cols>
    <col min="1" max="1" width="15.7109375" customWidth="1"/>
    <col min="2" max="2" width="18.28515625" customWidth="1"/>
    <col min="3" max="3" width="16.28515625" customWidth="1"/>
    <col min="4" max="4" width="18.140625" bestFit="1" customWidth="1"/>
    <col min="6" max="6" width="15.42578125" customWidth="1"/>
    <col min="7" max="7" width="9.28515625" customWidth="1"/>
    <col min="8" max="8" width="21.28515625" bestFit="1" customWidth="1"/>
    <col min="9" max="9" width="14" bestFit="1" customWidth="1"/>
    <col min="10" max="10" width="18.7109375" bestFit="1" customWidth="1"/>
  </cols>
  <sheetData>
    <row r="1" spans="1:10" x14ac:dyDescent="0.25">
      <c r="A1" t="s">
        <v>3</v>
      </c>
      <c r="B1" t="s">
        <v>0</v>
      </c>
      <c r="C1" t="s">
        <v>26</v>
      </c>
      <c r="D1" t="s">
        <v>25</v>
      </c>
      <c r="E1" t="s">
        <v>1</v>
      </c>
      <c r="F1" t="s">
        <v>2</v>
      </c>
      <c r="G1" t="s">
        <v>4</v>
      </c>
      <c r="H1" t="s">
        <v>31</v>
      </c>
      <c r="I1" t="s">
        <v>32</v>
      </c>
      <c r="J1" t="s">
        <v>33</v>
      </c>
    </row>
    <row r="2" spans="1:10" x14ac:dyDescent="0.25">
      <c r="A2" t="s">
        <v>5</v>
      </c>
      <c r="B2" t="s">
        <v>13</v>
      </c>
      <c r="C2" t="s">
        <v>21</v>
      </c>
      <c r="D2">
        <v>75000</v>
      </c>
      <c r="E2">
        <v>8000</v>
      </c>
      <c r="F2" s="1">
        <v>44208</v>
      </c>
      <c r="G2" t="s">
        <v>27</v>
      </c>
      <c r="H2">
        <f>SUM(Table1[[#This Row],[Salary]:[Bonus]])</f>
        <v>83000</v>
      </c>
      <c r="I2">
        <f>YEAR(Table1[[#This Row],[ Joining_Date ]])</f>
        <v>2021</v>
      </c>
      <c r="J2" t="s">
        <v>22</v>
      </c>
    </row>
    <row r="3" spans="1:10" x14ac:dyDescent="0.25">
      <c r="A3" t="s">
        <v>6</v>
      </c>
      <c r="B3" t="s">
        <v>14</v>
      </c>
      <c r="C3" t="s">
        <v>22</v>
      </c>
      <c r="D3">
        <v>62000</v>
      </c>
      <c r="E3">
        <v>5000</v>
      </c>
      <c r="F3" s="1">
        <v>43895</v>
      </c>
      <c r="G3" t="s">
        <v>28</v>
      </c>
      <c r="H3">
        <f>SUM(Table1[[#This Row],[Salary]:[Bonus]])</f>
        <v>67000</v>
      </c>
      <c r="I3">
        <f>YEAR(Table1[[#This Row],[ Joining_Date ]])</f>
        <v>2020</v>
      </c>
      <c r="J3" t="s">
        <v>22</v>
      </c>
    </row>
    <row r="4" spans="1:10" x14ac:dyDescent="0.25">
      <c r="A4" t="s">
        <v>7</v>
      </c>
      <c r="B4" t="s">
        <v>15</v>
      </c>
      <c r="C4" t="s">
        <v>23</v>
      </c>
      <c r="D4">
        <v>91000</v>
      </c>
      <c r="E4">
        <v>12000</v>
      </c>
      <c r="F4" s="1">
        <v>43664</v>
      </c>
      <c r="G4" t="s">
        <v>29</v>
      </c>
      <c r="H4">
        <f>SUM(Table1[[#This Row],[Salary]:[Bonus]])</f>
        <v>103000</v>
      </c>
      <c r="I4">
        <f>YEAR(Table1[[#This Row],[ Joining_Date ]])</f>
        <v>2019</v>
      </c>
      <c r="J4" t="s">
        <v>23</v>
      </c>
    </row>
    <row r="5" spans="1:10" x14ac:dyDescent="0.25">
      <c r="A5" t="s">
        <v>8</v>
      </c>
      <c r="B5" t="s">
        <v>16</v>
      </c>
      <c r="C5" t="s">
        <v>24</v>
      </c>
      <c r="D5">
        <v>68000</v>
      </c>
      <c r="E5">
        <v>7000</v>
      </c>
      <c r="F5" s="1">
        <v>44829</v>
      </c>
      <c r="G5" t="s">
        <v>30</v>
      </c>
      <c r="H5">
        <f>SUM(Table1[[#This Row],[Salary]:[Bonus]])</f>
        <v>75000</v>
      </c>
      <c r="I5">
        <f>YEAR(Table1[[#This Row],[ Joining_Date ]])</f>
        <v>2022</v>
      </c>
      <c r="J5" t="s">
        <v>24</v>
      </c>
    </row>
    <row r="6" spans="1:10" x14ac:dyDescent="0.25">
      <c r="A6" t="s">
        <v>9</v>
      </c>
      <c r="B6" t="s">
        <v>17</v>
      </c>
      <c r="C6" t="s">
        <v>21</v>
      </c>
      <c r="D6">
        <v>83000</v>
      </c>
      <c r="E6">
        <v>9000</v>
      </c>
      <c r="F6" s="1">
        <v>44510</v>
      </c>
      <c r="G6" t="s">
        <v>27</v>
      </c>
      <c r="H6">
        <f>SUM(Table1[[#This Row],[Salary]:[Bonus]])</f>
        <v>92000</v>
      </c>
      <c r="I6">
        <f>YEAR(Table1[[#This Row],[ Joining_Date ]])</f>
        <v>2021</v>
      </c>
      <c r="J6" t="s">
        <v>21</v>
      </c>
    </row>
    <row r="7" spans="1:10" x14ac:dyDescent="0.25">
      <c r="A7" t="s">
        <v>10</v>
      </c>
      <c r="B7" t="s">
        <v>18</v>
      </c>
      <c r="C7" t="s">
        <v>23</v>
      </c>
      <c r="D7">
        <v>97000</v>
      </c>
      <c r="E7">
        <v>15000</v>
      </c>
      <c r="F7" s="1">
        <v>43145</v>
      </c>
      <c r="G7" t="s">
        <v>28</v>
      </c>
      <c r="H7">
        <f>SUM(Table1[[#This Row],[Salary]:[Bonus]])</f>
        <v>112000</v>
      </c>
      <c r="I7">
        <f>YEAR(Table1[[#This Row],[ Joining_Date ]])</f>
        <v>2018</v>
      </c>
      <c r="J7" t="s">
        <v>23</v>
      </c>
    </row>
    <row r="8" spans="1:10" x14ac:dyDescent="0.25">
      <c r="A8" t="s">
        <v>11</v>
      </c>
      <c r="B8" t="s">
        <v>19</v>
      </c>
      <c r="C8" t="s">
        <v>22</v>
      </c>
      <c r="D8">
        <v>59000</v>
      </c>
      <c r="E8">
        <v>4000</v>
      </c>
      <c r="F8" s="1">
        <v>45049</v>
      </c>
      <c r="G8" t="s">
        <v>29</v>
      </c>
      <c r="H8">
        <f>SUM(Table1[[#This Row],[Salary]:[Bonus]])</f>
        <v>63000</v>
      </c>
      <c r="I8">
        <f>YEAR(Table1[[#This Row],[ Joining_Date ]])</f>
        <v>2023</v>
      </c>
      <c r="J8" t="s">
        <v>22</v>
      </c>
    </row>
    <row r="9" spans="1:10" x14ac:dyDescent="0.25">
      <c r="A9" t="s">
        <v>12</v>
      </c>
      <c r="B9" t="s">
        <v>20</v>
      </c>
      <c r="C9" t="s">
        <v>24</v>
      </c>
      <c r="D9">
        <v>72000</v>
      </c>
      <c r="E9">
        <v>6500</v>
      </c>
      <c r="F9" s="1">
        <v>44002</v>
      </c>
      <c r="G9" t="s">
        <v>30</v>
      </c>
      <c r="H9">
        <f>SUM(Table1[[#This Row],[Salary]:[Bonus]])</f>
        <v>78500</v>
      </c>
      <c r="I9">
        <f>YEAR(Table1[[#This Row],[ Joining_Date ]])</f>
        <v>2020</v>
      </c>
      <c r="J9" t="s">
        <v>24</v>
      </c>
    </row>
  </sheetData>
  <phoneticPr fontId="2" type="noConversion"/>
  <conditionalFormatting sqref="D1:D1048576">
    <cfRule type="cellIs" dxfId="2" priority="4" operator="greaterThan">
      <formula>80000</formula>
    </cfRule>
  </conditionalFormatting>
  <conditionalFormatting sqref="E1:E9">
    <cfRule type="cellIs" dxfId="1" priority="1" operator="lessThan">
      <formula>5000</formula>
    </cfRule>
  </conditionalFormatting>
  <dataValidations count="1">
    <dataValidation type="list" allowBlank="1" showInputMessage="1" showErrorMessage="1" sqref="J1:J1048576" xr:uid="{2CF8EC46-695A-4E2E-B65E-8EBB3A3055BB}">
      <formula1>"Sales,HR, IT, Finance"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Dsshboard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dc:creator>
  <cp:lastModifiedBy>ASDC3</cp:lastModifiedBy>
  <dcterms:created xsi:type="dcterms:W3CDTF">2026-06-21T04:42:28Z</dcterms:created>
  <dcterms:modified xsi:type="dcterms:W3CDTF">2026-06-21T06:10:46Z</dcterms:modified>
</cp:coreProperties>
</file>