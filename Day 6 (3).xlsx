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13_ncr:1_{69E57120-47EF-41E9-B895-D122B779924B}" xr6:coauthVersionLast="47" xr6:coauthVersionMax="47" xr10:uidLastSave="{00000000-0000-0000-0000-000000000000}"/>
  <bookViews>
    <workbookView xWindow="-120" yWindow="-120" windowWidth="29040" windowHeight="15720" firstSheet="1" activeTab="2" xr2:uid="{AC3146FC-E3A9-4E58-838B-57C895522AD9}"/>
  </bookViews>
  <sheets>
    <sheet name="Sheet1" sheetId="1" r:id="rId1"/>
    <sheet name="Notes" sheetId="9" r:id="rId2"/>
    <sheet name="Practice Sheet" sheetId="2" r:id="rId3"/>
    <sheet name="Text Functions" sheetId="3" r:id="rId4"/>
    <sheet name="Date &amp; Time Func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X3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M2" i="4"/>
  <c r="L2" i="4"/>
  <c r="I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K2" i="4"/>
  <c r="I2" i="4"/>
  <c r="J2" i="4"/>
  <c r="H2" i="4"/>
  <c r="G2" i="4"/>
  <c r="F2" i="4"/>
  <c r="E2" i="4"/>
  <c r="D2" i="4"/>
  <c r="C2" i="4"/>
  <c r="B2" i="4"/>
  <c r="P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E3" i="9"/>
  <c r="E4" i="9"/>
  <c r="E5" i="9"/>
  <c r="E7" i="9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<sst xmlns="http://schemas.openxmlformats.org/spreadsheetml/2006/main" count="491" uniqueCount="389">
  <si>
    <t>Advanced Formulas and Functions:</t>
  </si>
  <si>
    <t>Logical Functions (IF, AND, OR, NOT)</t>
  </si>
  <si>
    <t>Text Functions (LEFT, RIGHT, MID, CONCATENATE, TEXT)</t>
  </si>
  <si>
    <t>Date and Time Functions (DATE, TIME, YEAR, MONTH, DAY, NETWORK DAYS)</t>
  </si>
  <si>
    <t>🔹 Logical Functions</t>
  </si>
  <si>
    <t>1. Write a formula to check if Salary &gt; 50,000 → return “High” else “Low”.</t>
  </si>
  <si>
    <r>
      <t xml:space="preserve">2. Use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to check if Department = “HR” → return “HR Dept” else “Other”.</t>
    </r>
  </si>
  <si>
    <r>
      <t xml:space="preserve">3. Use </t>
    </r>
    <r>
      <rPr>
        <b/>
        <sz val="11"/>
        <color theme="1"/>
        <rFont val="Calibri"/>
        <family val="2"/>
        <scheme val="minor"/>
      </rPr>
      <t>IF + AND</t>
    </r>
    <r>
      <rPr>
        <sz val="11"/>
        <color theme="1"/>
        <rFont val="Calibri"/>
        <family val="2"/>
        <scheme val="minor"/>
      </rPr>
      <t xml:space="preserve"> → return “Eligible” if Salary &gt; 40,000 AND City = “Delhi”.</t>
    </r>
  </si>
  <si>
    <r>
      <t xml:space="preserve">4. Use </t>
    </r>
    <r>
      <rPr>
        <b/>
        <sz val="11"/>
        <color theme="1"/>
        <rFont val="Calibri"/>
        <family val="2"/>
        <scheme val="minor"/>
      </rPr>
      <t>IF + OR</t>
    </r>
    <r>
      <rPr>
        <sz val="11"/>
        <color theme="1"/>
        <rFont val="Calibri"/>
        <family val="2"/>
        <scheme val="minor"/>
      </rPr>
      <t xml:space="preserve"> → return “Yes” if Department = “IT” OR Department = “Finance”.</t>
    </r>
  </si>
  <si>
    <r>
      <t xml:space="preserve">5. Use </t>
    </r>
    <r>
      <rPr>
        <b/>
        <sz val="11"/>
        <color theme="1"/>
        <rFont val="Calibri"/>
        <family val="2"/>
        <scheme val="minor"/>
      </rPr>
      <t>IF + NOT</t>
    </r>
    <r>
      <rPr>
        <sz val="11"/>
        <color theme="1"/>
        <rFont val="Calibri"/>
        <family val="2"/>
        <scheme val="minor"/>
      </rPr>
      <t xml:space="preserve"> → return “Outside HR” if employee is NOT in HR.</t>
    </r>
  </si>
  <si>
    <r>
      <t xml:space="preserve">6. Use </t>
    </r>
    <r>
      <rPr>
        <b/>
        <sz val="11"/>
        <color theme="1"/>
        <rFont val="Calibri"/>
        <family val="2"/>
        <scheme val="minor"/>
      </rPr>
      <t>Nested IF</t>
    </r>
    <r>
      <rPr>
        <sz val="11"/>
        <color theme="1"/>
        <rFont val="Calibri"/>
        <family val="2"/>
        <scheme val="minor"/>
      </rPr>
      <t xml:space="preserve"> → classify Salary: &lt;30k = Low, 30k–60k = Medium, &gt;60k = High.</t>
    </r>
  </si>
  <si>
    <t>7. Combine IF + AND → check if Joining Year = 2023 AND Salary &gt; 70,000 → “Bonus Eligible”.</t>
  </si>
  <si>
    <t>🔹 Text Functions</t>
  </si>
  <si>
    <r>
      <t xml:space="preserve">8. Use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to extract first 3 letters of Employee Name.</t>
    </r>
  </si>
  <si>
    <r>
      <t xml:space="preserve">9. Use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to extract last 5 characters of Email ID.</t>
    </r>
  </si>
  <si>
    <r>
      <t xml:space="preserve">10. Use </t>
    </r>
    <r>
      <rPr>
        <b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to extract Department Code from Employee ID (e.g., ID = EMP-HR-101 → extract “HR”).</t>
    </r>
  </si>
  <si>
    <r>
      <t xml:space="preserve">11. Use </t>
    </r>
    <r>
      <rPr>
        <b/>
        <sz val="11"/>
        <color theme="1"/>
        <rFont val="Calibri"/>
        <family val="2"/>
        <scheme val="minor"/>
      </rPr>
      <t>LEN</t>
    </r>
    <r>
      <rPr>
        <sz val="11"/>
        <color theme="1"/>
        <rFont val="Calibri"/>
        <family val="2"/>
        <scheme val="minor"/>
      </rPr>
      <t xml:space="preserve"> to find total characters in each Employee Name.</t>
    </r>
  </si>
  <si>
    <r>
      <t xml:space="preserve">12. Use </t>
    </r>
    <r>
      <rPr>
        <b/>
        <sz val="11"/>
        <color theme="1"/>
        <rFont val="Calibri"/>
        <family val="2"/>
        <scheme val="minor"/>
      </rPr>
      <t>FIND</t>
    </r>
    <r>
      <rPr>
        <sz val="11"/>
        <color theme="1"/>
        <rFont val="Calibri"/>
        <family val="2"/>
        <scheme val="minor"/>
      </rPr>
      <t xml:space="preserve"> to find position of “@” in Email.</t>
    </r>
  </si>
  <si>
    <r>
      <t xml:space="preserve">13. Use </t>
    </r>
    <r>
      <rPr>
        <b/>
        <sz val="11"/>
        <color theme="1"/>
        <rFont val="Calibri"/>
        <family val="2"/>
        <scheme val="minor"/>
      </rPr>
      <t>CONCATENATE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</rPr>
      <t>&amp;</t>
    </r>
    <r>
      <rPr>
        <sz val="11"/>
        <color theme="1"/>
        <rFont val="Calibri"/>
        <family val="2"/>
        <scheme val="minor"/>
      </rPr>
      <t>) → combine Name + Department + City into one cell.</t>
    </r>
  </si>
  <si>
    <r>
      <t xml:space="preserve">14. Use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to format Salary as “₹##,###”.</t>
    </r>
  </si>
  <si>
    <r>
      <t xml:space="preserve">15. Use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to format Joining Date as “MMM-YYYY” (e.g., Jan-2024).</t>
    </r>
  </si>
  <si>
    <r>
      <t xml:space="preserve">16. Use </t>
    </r>
    <r>
      <rPr>
        <b/>
        <sz val="11"/>
        <color theme="1"/>
        <rFont val="Calibri"/>
        <family val="2"/>
        <scheme val="minor"/>
      </rPr>
      <t>UPPER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LOWER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PROPER</t>
    </r>
    <r>
      <rPr>
        <sz val="11"/>
        <color theme="1"/>
        <rFont val="Calibri"/>
        <family val="2"/>
        <scheme val="minor"/>
      </rPr>
      <t xml:space="preserve"> to change text case of Names.</t>
    </r>
  </si>
  <si>
    <t>🔹 Date &amp; Time Functions</t>
  </si>
  <si>
    <r>
      <t xml:space="preserve">17. Use </t>
    </r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to extract Joining Year.</t>
    </r>
  </si>
  <si>
    <r>
      <t xml:space="preserve">18. Use </t>
    </r>
    <r>
      <rPr>
        <b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 xml:space="preserve"> to extract Joining Month (1–12).</t>
    </r>
  </si>
  <si>
    <r>
      <t xml:space="preserve">19. Use </t>
    </r>
    <r>
      <rPr>
        <b/>
        <sz val="11"/>
        <color theme="1"/>
        <rFont val="Calibri"/>
        <family val="2"/>
        <scheme val="minor"/>
      </rPr>
      <t>DAY</t>
    </r>
    <r>
      <rPr>
        <sz val="11"/>
        <color theme="1"/>
        <rFont val="Calibri"/>
        <family val="2"/>
        <scheme val="minor"/>
      </rPr>
      <t xml:space="preserve"> to extract Joining Day.</t>
    </r>
  </si>
  <si>
    <r>
      <t xml:space="preserve">20. Use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function to create a date from Year, Month, Day columns.</t>
    </r>
  </si>
  <si>
    <r>
      <t xml:space="preserve">21. Use </t>
    </r>
    <r>
      <rPr>
        <b/>
        <sz val="11"/>
        <color theme="1"/>
        <rFont val="Calibri"/>
        <family val="2"/>
        <scheme val="minor"/>
      </rPr>
      <t>TODAY()</t>
    </r>
    <r>
      <rPr>
        <sz val="11"/>
        <color theme="1"/>
        <rFont val="Calibri"/>
        <family val="2"/>
        <scheme val="minor"/>
      </rPr>
      <t xml:space="preserve"> to display current date.</t>
    </r>
  </si>
  <si>
    <r>
      <t xml:space="preserve">22. Use </t>
    </r>
    <r>
      <rPr>
        <b/>
        <sz val="11"/>
        <color theme="1"/>
        <rFont val="Calibri"/>
        <family val="2"/>
        <scheme val="minor"/>
      </rPr>
      <t>NOW()</t>
    </r>
    <r>
      <rPr>
        <sz val="11"/>
        <color theme="1"/>
        <rFont val="Calibri"/>
        <family val="2"/>
        <scheme val="minor"/>
      </rPr>
      <t xml:space="preserve"> to display current date &amp; time.</t>
    </r>
  </si>
  <si>
    <r>
      <t xml:space="preserve">23. Use </t>
    </r>
    <r>
      <rPr>
        <b/>
        <sz val="11"/>
        <color theme="1"/>
        <rFont val="Calibri"/>
        <family val="2"/>
        <scheme val="minor"/>
      </rPr>
      <t>EDATE()</t>
    </r>
    <r>
      <rPr>
        <sz val="11"/>
        <color theme="1"/>
        <rFont val="Calibri"/>
        <family val="2"/>
        <scheme val="minor"/>
      </rPr>
      <t xml:space="preserve"> to calculate 6 months after Joining Date.</t>
    </r>
  </si>
  <si>
    <r>
      <t xml:space="preserve">24. Use </t>
    </r>
    <r>
      <rPr>
        <b/>
        <sz val="11"/>
        <color theme="1"/>
        <rFont val="Calibri"/>
        <family val="2"/>
        <scheme val="minor"/>
      </rPr>
      <t>NETWORKDAYS()</t>
    </r>
    <r>
      <rPr>
        <sz val="11"/>
        <color theme="1"/>
        <rFont val="Calibri"/>
        <family val="2"/>
        <scheme val="minor"/>
      </rPr>
      <t xml:space="preserve"> to calculate working days between Joining Date and Today (exclude weekends).</t>
    </r>
  </si>
  <si>
    <t>ID</t>
  </si>
  <si>
    <t>Name</t>
  </si>
  <si>
    <t>Department</t>
  </si>
  <si>
    <t>City</t>
  </si>
  <si>
    <t>Email</t>
  </si>
  <si>
    <t>Salary</t>
  </si>
  <si>
    <t>Joining Date</t>
  </si>
  <si>
    <t>EMP100</t>
  </si>
  <si>
    <t>Amit</t>
  </si>
  <si>
    <t>Marketing</t>
  </si>
  <si>
    <t>Mumbai</t>
  </si>
  <si>
    <t>amit@outlook.com</t>
  </si>
  <si>
    <t>01-01-2020</t>
  </si>
  <si>
    <t>EMP101</t>
  </si>
  <si>
    <t>Roshni</t>
  </si>
  <si>
    <t>HR</t>
  </si>
  <si>
    <t>Kolkata</t>
  </si>
  <si>
    <t>roshni@gmail.com</t>
  </si>
  <si>
    <t>30-05-2020</t>
  </si>
  <si>
    <t>EMP102</t>
  </si>
  <si>
    <t>Neha</t>
  </si>
  <si>
    <t>Sales</t>
  </si>
  <si>
    <t>neha@gmail.com</t>
  </si>
  <si>
    <t>27-10-2020</t>
  </si>
  <si>
    <t>EMP103</t>
  </si>
  <si>
    <t>Raj</t>
  </si>
  <si>
    <t>Hyderabad</t>
  </si>
  <si>
    <t>raj@gmail.com</t>
  </si>
  <si>
    <t>26-03-2021</t>
  </si>
  <si>
    <t>EMP104</t>
  </si>
  <si>
    <t>Simran</t>
  </si>
  <si>
    <t>Delhi</t>
  </si>
  <si>
    <t>simran@company.com</t>
  </si>
  <si>
    <t>23-08-2021</t>
  </si>
  <si>
    <t>EMP105</t>
  </si>
  <si>
    <t>Arjun</t>
  </si>
  <si>
    <t>IT</t>
  </si>
  <si>
    <t>Chennai</t>
  </si>
  <si>
    <t>arjun@outlook.com</t>
  </si>
  <si>
    <t>20-01-2022</t>
  </si>
  <si>
    <t>EMP106</t>
  </si>
  <si>
    <t>Meera</t>
  </si>
  <si>
    <t>meera@company.com</t>
  </si>
  <si>
    <t>19-06-2022</t>
  </si>
  <si>
    <t>EMP107</t>
  </si>
  <si>
    <t>Kunal</t>
  </si>
  <si>
    <t>kunal@yahoo.com</t>
  </si>
  <si>
    <t>16-11-2022</t>
  </si>
  <si>
    <t>EMP108</t>
  </si>
  <si>
    <t>Priya</t>
  </si>
  <si>
    <t>priya@yahoo.com</t>
  </si>
  <si>
    <t>15-04-2023</t>
  </si>
  <si>
    <t>EMP109</t>
  </si>
  <si>
    <t>Vikas</t>
  </si>
  <si>
    <t>vikas@yahoo.com</t>
  </si>
  <si>
    <t>12-09-2023</t>
  </si>
  <si>
    <t>EMP110</t>
  </si>
  <si>
    <t>Reema</t>
  </si>
  <si>
    <t>Finance</t>
  </si>
  <si>
    <t>reema@company.com</t>
  </si>
  <si>
    <t>09-02-2024</t>
  </si>
  <si>
    <t>EMP111</t>
  </si>
  <si>
    <t>Ravi</t>
  </si>
  <si>
    <t>Bangalore</t>
  </si>
  <si>
    <t>ravi@yahoo.com</t>
  </si>
  <si>
    <t>08-07-2024</t>
  </si>
  <si>
    <t>EMP112</t>
  </si>
  <si>
    <t>Sonia</t>
  </si>
  <si>
    <t>sonia@outlook.com</t>
  </si>
  <si>
    <t>05-12-2024</t>
  </si>
  <si>
    <t>EMP113</t>
  </si>
  <si>
    <t>Deepak</t>
  </si>
  <si>
    <t>deepak@gmail.com</t>
  </si>
  <si>
    <t>04-05-2025</t>
  </si>
  <si>
    <t>EMP114</t>
  </si>
  <si>
    <t>Nisha</t>
  </si>
  <si>
    <t>nisha@yahoo.com</t>
  </si>
  <si>
    <t>01-10-2025</t>
  </si>
  <si>
    <t>EMP115</t>
  </si>
  <si>
    <t>Sahil</t>
  </si>
  <si>
    <t>sahil@yahoo.com</t>
  </si>
  <si>
    <t>28-02-2026</t>
  </si>
  <si>
    <t>EMP116</t>
  </si>
  <si>
    <t>Pooja</t>
  </si>
  <si>
    <t>pooja@outlook.com</t>
  </si>
  <si>
    <t>28-07-2026</t>
  </si>
  <si>
    <t>EMP117</t>
  </si>
  <si>
    <t>Tarun</t>
  </si>
  <si>
    <t>tarun@company.com</t>
  </si>
  <si>
    <t>25-12-2026</t>
  </si>
  <si>
    <t>EMP118</t>
  </si>
  <si>
    <t>Divya</t>
  </si>
  <si>
    <t>divya@gmail.com</t>
  </si>
  <si>
    <t>24-05-2027</t>
  </si>
  <si>
    <t>EMP119</t>
  </si>
  <si>
    <t>Manish</t>
  </si>
  <si>
    <t>manish@yahoo.com</t>
  </si>
  <si>
    <t>21-10-2027</t>
  </si>
  <si>
    <t>EMP120</t>
  </si>
  <si>
    <t>Shweta</t>
  </si>
  <si>
    <t>shweta@gmail.com</t>
  </si>
  <si>
    <t>19-03-2028</t>
  </si>
  <si>
    <t>EMP121</t>
  </si>
  <si>
    <t>Alok</t>
  </si>
  <si>
    <t>alok@gmail.com</t>
  </si>
  <si>
    <t>16-08-2028</t>
  </si>
  <si>
    <t>EMP122</t>
  </si>
  <si>
    <t>Kirti</t>
  </si>
  <si>
    <t>kirti@yahoo.com</t>
  </si>
  <si>
    <t>13-01-2029</t>
  </si>
  <si>
    <t>EMP123</t>
  </si>
  <si>
    <t>Varun</t>
  </si>
  <si>
    <t>varun@yahoo.com</t>
  </si>
  <si>
    <t>12-06-2029</t>
  </si>
  <si>
    <t>EMP124</t>
  </si>
  <si>
    <t>Tanvi</t>
  </si>
  <si>
    <t>tanvi@outlook.com</t>
  </si>
  <si>
    <t>09-11-2029</t>
  </si>
  <si>
    <t>EMP125</t>
  </si>
  <si>
    <t>Ankit</t>
  </si>
  <si>
    <t>ankit@yahoo.com</t>
  </si>
  <si>
    <t>08-04-2030</t>
  </si>
  <si>
    <t>EMP126</t>
  </si>
  <si>
    <t>Seema</t>
  </si>
  <si>
    <t>seema@yahoo.com</t>
  </si>
  <si>
    <t>05-09-2030</t>
  </si>
  <si>
    <t>EMP127</t>
  </si>
  <si>
    <t>Gaurav</t>
  </si>
  <si>
    <t>gaurav@gmail.com</t>
  </si>
  <si>
    <t>02-02-2031</t>
  </si>
  <si>
    <t>EMP128</t>
  </si>
  <si>
    <t>Anjali</t>
  </si>
  <si>
    <t>anjali@company.com</t>
  </si>
  <si>
    <t>02-07-2031</t>
  </si>
  <si>
    <t>EMP129</t>
  </si>
  <si>
    <t>Rahul</t>
  </si>
  <si>
    <t>rahul@company.com</t>
  </si>
  <si>
    <t>29-11-2031</t>
  </si>
  <si>
    <t>Trim</t>
  </si>
  <si>
    <t>Upper</t>
  </si>
  <si>
    <t>Lower</t>
  </si>
  <si>
    <t>Proper</t>
  </si>
  <si>
    <t>Len</t>
  </si>
  <si>
    <t>LEFT</t>
  </si>
  <si>
    <t xml:space="preserve"> RIGHT</t>
  </si>
  <si>
    <t xml:space="preserve"> MID</t>
  </si>
  <si>
    <t xml:space="preserve"> CONCATENATE</t>
  </si>
  <si>
    <t xml:space="preserve"> TEXT</t>
  </si>
  <si>
    <t>EMP-Marketing-100</t>
  </si>
  <si>
    <t>EMP-HR-101</t>
  </si>
  <si>
    <t>EMP-Sales-102</t>
  </si>
  <si>
    <t>EMP-Marketing-103</t>
  </si>
  <si>
    <t>EMP-HR-104</t>
  </si>
  <si>
    <t>EMP-IT-105</t>
  </si>
  <si>
    <t>EMP-IT-106</t>
  </si>
  <si>
    <t>EMP-Sales-107</t>
  </si>
  <si>
    <t>EMP-IT-108</t>
  </si>
  <si>
    <t>EMP-Marketing-109</t>
  </si>
  <si>
    <t>EMP-Finance-110</t>
  </si>
  <si>
    <t>EMP-HR-111</t>
  </si>
  <si>
    <t>EMP-HR-112</t>
  </si>
  <si>
    <t>EMP-Finance-113</t>
  </si>
  <si>
    <t>EMP-HR-114</t>
  </si>
  <si>
    <t>EMP-IT-115</t>
  </si>
  <si>
    <t>EMP-Finance-116</t>
  </si>
  <si>
    <t>EMP-Sales-117</t>
  </si>
  <si>
    <t>EMP-HR-118</t>
  </si>
  <si>
    <t>EMP-Marketing-119</t>
  </si>
  <si>
    <t>EMP-HR-120</t>
  </si>
  <si>
    <t>EMP-Finance-121</t>
  </si>
  <si>
    <t>EMP-IT-122</t>
  </si>
  <si>
    <t>EMP-Sales-123</t>
  </si>
  <si>
    <t>EMP-Finance-124</t>
  </si>
  <si>
    <t>EMP-Sales-125</t>
  </si>
  <si>
    <t>EMP-IT-126</t>
  </si>
  <si>
    <t>EMP-IT-127</t>
  </si>
  <si>
    <t>EMP-IT-128</t>
  </si>
  <si>
    <t>EMP-IT-129</t>
  </si>
  <si>
    <t>First Name</t>
  </si>
  <si>
    <t>Last Name</t>
  </si>
  <si>
    <t>Singh</t>
  </si>
  <si>
    <t>DATE</t>
  </si>
  <si>
    <t xml:space="preserve"> TIME</t>
  </si>
  <si>
    <t xml:space="preserve"> YEAR</t>
  </si>
  <si>
    <t xml:space="preserve"> MONTH</t>
  </si>
  <si>
    <t xml:space="preserve"> DAY</t>
  </si>
  <si>
    <t xml:space="preserve"> NETWORK DAYS</t>
  </si>
  <si>
    <t>Now</t>
  </si>
  <si>
    <t>DATE +5 Day</t>
  </si>
  <si>
    <t>DATE -5 Day</t>
  </si>
  <si>
    <t>Aarav</t>
  </si>
  <si>
    <t>Riya</t>
  </si>
  <si>
    <t>Gupta</t>
  </si>
  <si>
    <t>Aditya</t>
  </si>
  <si>
    <t>Karan</t>
  </si>
  <si>
    <t>Yadav</t>
  </si>
  <si>
    <t>Mehta</t>
  </si>
  <si>
    <t>Rohit</t>
  </si>
  <si>
    <t>Iyer</t>
  </si>
  <si>
    <t>Ananya</t>
  </si>
  <si>
    <t>Suresh</t>
  </si>
  <si>
    <t>Pillai</t>
  </si>
  <si>
    <t>Kavya</t>
  </si>
  <si>
    <t>Choudhary</t>
  </si>
  <si>
    <t>Sneha</t>
  </si>
  <si>
    <t>Das</t>
  </si>
  <si>
    <t>Vivek</t>
  </si>
  <si>
    <t>Kulkarni</t>
  </si>
  <si>
    <t>Patil</t>
  </si>
  <si>
    <t>Bansal</t>
  </si>
  <si>
    <t>Aditi</t>
  </si>
  <si>
    <t>Malhotra</t>
  </si>
  <si>
    <t>Rohan</t>
  </si>
  <si>
    <t>Jha</t>
  </si>
  <si>
    <t>Swati</t>
  </si>
  <si>
    <t>Mishra</t>
  </si>
  <si>
    <t>Nikhil</t>
  </si>
  <si>
    <t>Tanya</t>
  </si>
  <si>
    <t>Saxena</t>
  </si>
  <si>
    <t>Ghosh</t>
  </si>
  <si>
    <t>Abhishek</t>
  </si>
  <si>
    <t>Bhatt</t>
  </si>
  <si>
    <t>Ishita</t>
  </si>
  <si>
    <t>Tiwari</t>
  </si>
  <si>
    <t>Rajesh</t>
  </si>
  <si>
    <t>Chauhan</t>
  </si>
  <si>
    <t>Sakshi</t>
  </si>
  <si>
    <t>Trivedi</t>
  </si>
  <si>
    <t>Jain</t>
  </si>
  <si>
    <t>Komal</t>
  </si>
  <si>
    <t>Harsh</t>
  </si>
  <si>
    <t>Agarwal</t>
  </si>
  <si>
    <t>Shreya</t>
  </si>
  <si>
    <t xml:space="preserve">     Sharma</t>
  </si>
  <si>
    <t xml:space="preserve">   Verma</t>
  </si>
  <si>
    <t xml:space="preserve">Nair       </t>
  </si>
  <si>
    <t xml:space="preserve">         Kapoor</t>
  </si>
  <si>
    <t xml:space="preserve">        Reddy</t>
  </si>
  <si>
    <t xml:space="preserve">   Du   bey</t>
  </si>
  <si>
    <t>Desh  mukh</t>
  </si>
  <si>
    <t xml:space="preserve">     Basu</t>
  </si>
  <si>
    <t>Substitute</t>
  </si>
  <si>
    <t xml:space="preserve">Aadhar </t>
  </si>
  <si>
    <t>4823 6591 7345</t>
  </si>
  <si>
    <t>9124 5738 2045</t>
  </si>
  <si>
    <t>7643 1892 5576</t>
  </si>
  <si>
    <t>1234 9876 5432</t>
  </si>
  <si>
    <t>3081 4427 9192</t>
  </si>
  <si>
    <t>6754 1209 3847</t>
  </si>
  <si>
    <t>9991 7328 4450</t>
  </si>
  <si>
    <t>5812 6703 2149</t>
  </si>
  <si>
    <t>7420 1983 6552</t>
  </si>
  <si>
    <t>8309 5712 4681</t>
  </si>
  <si>
    <t>1247 5555 8888</t>
  </si>
  <si>
    <t>4392 7201 3982</t>
  </si>
  <si>
    <t>6172 8493 5501</t>
  </si>
  <si>
    <t>8033 9192 1144</t>
  </si>
  <si>
    <t>5902 2211 7328</t>
  </si>
  <si>
    <t>7755 3400 8921</t>
  </si>
  <si>
    <t>2345 9999 1010</t>
  </si>
  <si>
    <t>8831 5627 4399</t>
  </si>
  <si>
    <t>7200 4444 8080</t>
  </si>
  <si>
    <t>4521 6572 9918</t>
  </si>
  <si>
    <t>3344 2288 5566</t>
  </si>
  <si>
    <t>6189 3307 4411</t>
  </si>
  <si>
    <t>9400 8765 3211</t>
  </si>
  <si>
    <t>7155 1234 8976</t>
  </si>
  <si>
    <t>8064 6420 1345</t>
  </si>
  <si>
    <t>2509 1198 7700</t>
  </si>
  <si>
    <t>6631 5012 9032</t>
  </si>
  <si>
    <t>4890 2745 6789</t>
  </si>
  <si>
    <t>9102 3412 8088</t>
  </si>
  <si>
    <t>5723 6541 2222</t>
  </si>
  <si>
    <t>Date</t>
  </si>
  <si>
    <t>OR</t>
  </si>
  <si>
    <t>Nested IF</t>
  </si>
  <si>
    <t>Function</t>
  </si>
  <si>
    <t>Explanation</t>
  </si>
  <si>
    <t>Syntax</t>
  </si>
  <si>
    <t>Example</t>
  </si>
  <si>
    <t>IF</t>
  </si>
  <si>
    <t>Checks a condition and returns one value if TRUE, another if FALSE.</t>
  </si>
  <si>
    <t>AND</t>
  </si>
  <si>
    <t>NOT</t>
  </si>
  <si>
    <t>Reverses the logical result.</t>
  </si>
  <si>
    <t>Multiple IF conditions inside each other.</t>
  </si>
  <si>
    <t>Returns TRUE only if all conditions are TRUE.</t>
  </si>
  <si>
    <t>Returns TRUE if any one condition is TRUE.</t>
  </si>
  <si>
    <t>=NOT(A2&gt;50) (TRUE if A2 ≤ 50)</t>
  </si>
  <si>
    <t>"=IF(condition, value_if_true, value_if_false)"</t>
  </si>
  <si>
    <t>"=AND(condition1, condition2, …)"</t>
  </si>
  <si>
    <t>"=OR(condition1, condition2, …)"</t>
  </si>
  <si>
    <t>"=NOT(condition)"</t>
  </si>
  <si>
    <t>"=IF(condition1, value1, IF(condition2, value2, value3))"</t>
  </si>
  <si>
    <t>TRIM</t>
  </si>
  <si>
    <t>Removes all extra spaces from text, leaving only single spaces between words.</t>
  </si>
  <si>
    <t>"=TRIM(text)"</t>
  </si>
  <si>
    <t>UPPER</t>
  </si>
  <si>
    <t>Converts all letters in a text string to uppercase.</t>
  </si>
  <si>
    <t>"=UPPER(text)"</t>
  </si>
  <si>
    <t>LOWER</t>
  </si>
  <si>
    <t>Converts all letters in a text string to lowercase.</t>
  </si>
  <si>
    <t>"=LOWER(text)"</t>
  </si>
  <si>
    <t>PROPER</t>
  </si>
  <si>
    <t>Capitalizes the first letter of each word in a text string.</t>
  </si>
  <si>
    <t>"=PROPER(text)"</t>
  </si>
  <si>
    <t>LEN</t>
  </si>
  <si>
    <t>Returns the number of characters (including spaces) in a text string.</t>
  </si>
  <si>
    <t>"=LEN(text)"</t>
  </si>
  <si>
    <t>Extracts a given number of characters from the left side of a text string.</t>
  </si>
  <si>
    <t>"=LEFT(text, num_chars)"</t>
  </si>
  <si>
    <t>RIGHT</t>
  </si>
  <si>
    <t>Extracts a given number of characters from the right side of a text string.</t>
  </si>
  <si>
    <t>"=RIGHT(text, num_chars)"</t>
  </si>
  <si>
    <t>MID</t>
  </si>
  <si>
    <t>Extracts characters from the middle of a text string, starting at a specified position.</t>
  </si>
  <si>
    <t>"=MID(text, start_num, num_chars)"</t>
  </si>
  <si>
    <r>
      <t>CONCATENATE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CONCAT</t>
    </r>
    <r>
      <rPr>
        <sz val="11"/>
        <color theme="1"/>
        <rFont val="Calibri"/>
        <family val="2"/>
        <scheme val="minor"/>
      </rPr>
      <t xml:space="preserve"> in newer Excel)</t>
    </r>
  </si>
  <si>
    <t>Joins multiple text strings into one.</t>
  </si>
  <si>
    <r>
      <t>"=CONCATENATE(text1, text2, …)"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"=CONCAT(text1, text2, …)"</t>
    </r>
  </si>
  <si>
    <t>TEXT</t>
  </si>
  <si>
    <t>Formats a number and converts it into text in a specified format.</t>
  </si>
  <si>
    <t>"=TEXT(value, format_text)"</t>
  </si>
  <si>
    <t>SUBSTITUTE</t>
  </si>
  <si>
    <t>Replaces specific text in a string with new text.</t>
  </si>
  <si>
    <t>"=SUBSTITUTE(text, old_text, new_text, [instance_num])"</t>
  </si>
  <si>
    <t>Returns a valid date when year, month, and day are provided.</t>
  </si>
  <si>
    <t>"=DATE(year, month, day)"</t>
  </si>
  <si>
    <t>TIME</t>
  </si>
  <si>
    <t>Returns a valid time when hours, minutes, and seconds are provided.</t>
  </si>
  <si>
    <t>"=TIME(hour, minute, second)"</t>
  </si>
  <si>
    <t>YEAR</t>
  </si>
  <si>
    <t>Extracts the year from a given date.</t>
  </si>
  <si>
    <t>"=YEAR(serial_number)"</t>
  </si>
  <si>
    <t>MONTH</t>
  </si>
  <si>
    <t>Extracts the month (1–12) from a given date.</t>
  </si>
  <si>
    <t>"=MONTH(serial_number)"</t>
  </si>
  <si>
    <t>DAY</t>
  </si>
  <si>
    <t>Extracts the day (1–31) from a given date.</t>
  </si>
  <si>
    <t>"=DAY(serial_number)"</t>
  </si>
  <si>
    <t>NETWORKDAYS</t>
  </si>
  <si>
    <t>Returns the number of working days between two dates (excluding weekends and optionally holidays).</t>
  </si>
  <si>
    <t>"=NETWORKDAYS(start_date, end_date, [holidays])"</t>
  </si>
  <si>
    <t>Network.Int</t>
  </si>
  <si>
    <t>31-03-2027</t>
  </si>
  <si>
    <t>edate</t>
  </si>
  <si>
    <t>eomonth</t>
  </si>
  <si>
    <t>Left</t>
  </si>
  <si>
    <t>Right</t>
  </si>
  <si>
    <t>Mid</t>
  </si>
  <si>
    <t>Find</t>
  </si>
  <si>
    <t>Concate</t>
  </si>
  <si>
    <t>Text</t>
  </si>
  <si>
    <t>Tect</t>
  </si>
  <si>
    <t>Year</t>
  </si>
  <si>
    <t>month</t>
  </si>
  <si>
    <t>Day</t>
  </si>
  <si>
    <t>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</si>
</sst>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horizontal="center" vertical="top"/>
    </xf>
    <xf numFmtId="0" fontId="1" fillId="4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0" fillId="0" borderId="1" xfId="0" applyBorder="1"/>
    <xf numFmtId="0" fontId="4" fillId="6" borderId="1" xfId="0" applyFont="1" applyFill="1" applyBorder="1" applyAlignment="1">
      <alignment horizontal="center" vertical="top"/>
    </xf>
    <xf numFmtId="0" fontId="1" fillId="6" borderId="1" xfId="0" applyFont="1" applyFill="1" applyBorder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/>
    <xf numFmtId="18" fontId="0" fillId="0" borderId="1" xfId="0" applyNumberFormat="1" applyBorder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NumberFormat="1"/>
    <xf numFmtId="14" fontId="0" fillId="0" borderId="1" xfId="0" applyNumberFormat="1" applyBorder="1"/>
    <xf numFmtId="22" fontId="0" fillId="0" borderId="1" xfId="0" applyNumberFormat="1" applyBorder="1"/>
    <xf numFmtId="0" fontId="1" fillId="6" borderId="2" xfId="0" applyFont="1" applyFill="1" applyBorder="1"/>
    <xf numFmtId="0" fontId="0" fillId="0" borderId="1" xfId="0" applyNumberFormat="1" applyBorder="1"/>
    <xf numFmtId="18" fontId="0" fillId="0" borderId="0" xfId="0" applyNumberFormat="1"/>
    <xf numFmtId="0" fontId="4" fillId="0" borderId="0" xfId="0" applyFont="1" applyFill="1" applyBorder="1" applyAlignment="1">
      <alignment horizontal="center" vertical="top"/>
    </xf>
    <xf numFmtId="164" fontId="0" fillId="0" borderId="0" xfId="0" applyNumberFormat="1"/>
    <xf numFmtId="164" fontId="4" fillId="0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8</xdr:row>
      <xdr:rowOff>52753</xdr:rowOff>
    </xdr:from>
    <xdr:to>
      <xdr:col>3</xdr:col>
      <xdr:colOff>1781907</xdr:colOff>
      <xdr:row>35</xdr:row>
      <xdr:rowOff>35169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A45E68D-1783-1413-E3F4-CB84285DA0AA}"/>
            </a:ext>
          </a:extLst>
        </xdr:cNvPr>
        <xdr:cNvSpPr/>
      </xdr:nvSpPr>
      <xdr:spPr>
        <a:xfrm>
          <a:off x="1066799" y="2233245"/>
          <a:ext cx="4489939" cy="488852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/>
            <a:t>✅ </a:t>
          </a:r>
          <a:r>
            <a:rPr lang="en-IN" b="1">
              <a:solidFill>
                <a:schemeClr val="accent4">
                  <a:lumMod val="40000"/>
                  <a:lumOff val="60000"/>
                </a:schemeClr>
              </a:solidFill>
            </a:rPr>
            <a:t>Examples (Separate, not in table):</a:t>
          </a:r>
        </a:p>
        <a:p>
          <a:r>
            <a:rPr lang="en-IN" b="1"/>
            <a:t>IF Example</a:t>
          </a:r>
          <a:br>
            <a:rPr lang="en-IN"/>
          </a:br>
          <a:r>
            <a:rPr lang="en-IN"/>
            <a:t>If a student scored 45:</a:t>
          </a:r>
          <a:br>
            <a:rPr lang="en-IN"/>
          </a:br>
          <a:r>
            <a:rPr lang="en-IN"/>
            <a:t>=IF(45&gt;=40,"Pass","Fail") → Output: Pass</a:t>
          </a:r>
        </a:p>
        <a:p>
          <a:endParaRPr lang="en-IN"/>
        </a:p>
        <a:p>
          <a:r>
            <a:rPr lang="en-IN" b="1"/>
            <a:t>AND Example</a:t>
          </a:r>
          <a:br>
            <a:rPr lang="en-IN"/>
          </a:br>
          <a:r>
            <a:rPr lang="en-IN"/>
            <a:t>Check if a student scored </a:t>
          </a:r>
          <a:r>
            <a:rPr lang="en-IN" b="1"/>
            <a:t>above 50 in Maths</a:t>
          </a:r>
          <a:r>
            <a:rPr lang="en-IN"/>
            <a:t> and </a:t>
          </a:r>
          <a:r>
            <a:rPr lang="en-IN" b="1"/>
            <a:t>above 60 in Science</a:t>
          </a:r>
          <a:r>
            <a:rPr lang="en-IN"/>
            <a:t>:</a:t>
          </a:r>
          <a:br>
            <a:rPr lang="en-IN"/>
          </a:br>
          <a:r>
            <a:rPr lang="en-IN"/>
            <a:t>=AND(55&gt;50,65&gt;60) → Output: TRUE</a:t>
          </a:r>
        </a:p>
        <a:p>
          <a:endParaRPr lang="en-IN"/>
        </a:p>
        <a:p>
          <a:r>
            <a:rPr lang="en-IN" b="1"/>
            <a:t>OR Example</a:t>
          </a:r>
          <a:br>
            <a:rPr lang="en-IN"/>
          </a:br>
          <a:r>
            <a:rPr lang="en-IN"/>
            <a:t>Check if a student scored </a:t>
          </a:r>
          <a:r>
            <a:rPr lang="en-IN" b="1"/>
            <a:t>above 80 in Maths OR Science</a:t>
          </a:r>
          <a:r>
            <a:rPr lang="en-IN"/>
            <a:t>:</a:t>
          </a:r>
          <a:br>
            <a:rPr lang="en-IN"/>
          </a:br>
          <a:r>
            <a:rPr lang="en-IN"/>
            <a:t>=OR(85&gt;80,55&gt;80) → Output: TRUE</a:t>
          </a:r>
        </a:p>
        <a:p>
          <a:endParaRPr lang="en-IN"/>
        </a:p>
        <a:p>
          <a:r>
            <a:rPr lang="en-IN" b="1"/>
            <a:t>NOT Example</a:t>
          </a:r>
          <a:br>
            <a:rPr lang="en-IN"/>
          </a:br>
          <a:r>
            <a:rPr lang="en-IN"/>
            <a:t>Check if a student did </a:t>
          </a:r>
          <a:r>
            <a:rPr lang="en-IN" b="1"/>
            <a:t>NOT</a:t>
          </a:r>
          <a:r>
            <a:rPr lang="en-IN"/>
            <a:t> score above 70 in English:</a:t>
          </a:r>
          <a:br>
            <a:rPr lang="en-IN"/>
          </a:br>
          <a:r>
            <a:rPr lang="en-IN"/>
            <a:t>=NOT(65&gt;70) → Output: TRUE</a:t>
          </a:r>
        </a:p>
        <a:p>
          <a:endParaRPr lang="en-IN"/>
        </a:p>
        <a:p>
          <a:r>
            <a:rPr lang="en-IN" b="1"/>
            <a:t>Nested IF Example</a:t>
          </a:r>
          <a:br>
            <a:rPr lang="en-IN"/>
          </a:br>
          <a:r>
            <a:rPr lang="en-IN"/>
            <a:t>Grade system:</a:t>
          </a:r>
        </a:p>
        <a:p>
          <a:r>
            <a:rPr lang="en-IN"/>
            <a:t>80 or more → A</a:t>
          </a:r>
        </a:p>
        <a:p>
          <a:r>
            <a:rPr lang="en-IN"/>
            <a:t>60 to 79 → B</a:t>
          </a:r>
        </a:p>
        <a:p>
          <a:r>
            <a:rPr lang="en-IN"/>
            <a:t>Below 60 → C</a:t>
          </a:r>
          <a:br>
            <a:rPr lang="en-IN"/>
          </a:br>
          <a:r>
            <a:rPr lang="en-IN"/>
            <a:t>Formula:</a:t>
          </a:r>
          <a:br>
            <a:rPr lang="en-IN"/>
          </a:br>
          <a:r>
            <a:rPr lang="en-IN"/>
            <a:t>=IF(A2&gt;=80,"A",IF(A2&gt;=60,"B","C"))</a:t>
          </a:r>
        </a:p>
        <a:p>
          <a:r>
            <a:rPr lang="en-IN"/>
            <a:t>If marks = 72 → Output: B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463061</xdr:colOff>
      <xdr:row>33</xdr:row>
      <xdr:rowOff>64477</xdr:rowOff>
    </xdr:from>
    <xdr:to>
      <xdr:col>8</xdr:col>
      <xdr:colOff>533400</xdr:colOff>
      <xdr:row>55</xdr:row>
      <xdr:rowOff>64477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B26769A-37AC-3B4E-3EA0-833CEF2CB341}"/>
            </a:ext>
          </a:extLst>
        </xdr:cNvPr>
        <xdr:cNvSpPr/>
      </xdr:nvSpPr>
      <xdr:spPr>
        <a:xfrm>
          <a:off x="6904892" y="6787662"/>
          <a:ext cx="3704493" cy="6547338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/>
            <a:t>🔍 Examples</a:t>
          </a:r>
        </a:p>
        <a:p>
          <a:r>
            <a:rPr lang="en-IN" b="1"/>
            <a:t>TRIM</a:t>
          </a:r>
          <a:r>
            <a:rPr lang="en-IN"/>
            <a:t>:</a:t>
          </a:r>
          <a:br>
            <a:rPr lang="en-IN"/>
          </a:br>
          <a:r>
            <a:rPr lang="en-IN"/>
            <a:t>=TRIM(" Excel Functions ") → </a:t>
          </a:r>
          <a:r>
            <a:rPr lang="en-IN" b="1"/>
            <a:t>"Excel Functions"</a:t>
          </a:r>
        </a:p>
        <a:p>
          <a:endParaRPr lang="en-IN"/>
        </a:p>
        <a:p>
          <a:r>
            <a:rPr lang="en-IN" b="1"/>
            <a:t>UPPER</a:t>
          </a:r>
          <a:r>
            <a:rPr lang="en-IN"/>
            <a:t>:</a:t>
          </a:r>
          <a:br>
            <a:rPr lang="en-IN"/>
          </a:br>
          <a:r>
            <a:rPr lang="en-IN"/>
            <a:t>=UPPER("excel") → </a:t>
          </a:r>
          <a:r>
            <a:rPr lang="en-IN" b="1"/>
            <a:t>"EXCEL"</a:t>
          </a:r>
        </a:p>
        <a:p>
          <a:endParaRPr lang="en-IN"/>
        </a:p>
        <a:p>
          <a:r>
            <a:rPr lang="en-IN" b="1"/>
            <a:t>LOWER</a:t>
          </a:r>
          <a:r>
            <a:rPr lang="en-IN"/>
            <a:t>:</a:t>
          </a:r>
          <a:br>
            <a:rPr lang="en-IN"/>
          </a:br>
          <a:r>
            <a:rPr lang="en-IN"/>
            <a:t>=LOWER("EXCEL") → </a:t>
          </a:r>
          <a:r>
            <a:rPr lang="en-IN" b="1"/>
            <a:t>"excel"</a:t>
          </a:r>
        </a:p>
        <a:p>
          <a:endParaRPr lang="en-IN"/>
        </a:p>
        <a:p>
          <a:r>
            <a:rPr lang="en-IN" b="1"/>
            <a:t>PROPER</a:t>
          </a:r>
          <a:r>
            <a:rPr lang="en-IN"/>
            <a:t>:</a:t>
          </a:r>
          <a:br>
            <a:rPr lang="en-IN"/>
          </a:br>
          <a:r>
            <a:rPr lang="en-IN"/>
            <a:t>=PROPER("microsoft excel") → </a:t>
          </a:r>
          <a:r>
            <a:rPr lang="en-IN" b="1"/>
            <a:t>"Microsoft Excel"</a:t>
          </a:r>
        </a:p>
        <a:p>
          <a:endParaRPr lang="en-IN"/>
        </a:p>
        <a:p>
          <a:r>
            <a:rPr lang="en-IN" b="1"/>
            <a:t>LEN</a:t>
          </a:r>
          <a:r>
            <a:rPr lang="en-IN"/>
            <a:t>:</a:t>
          </a:r>
          <a:br>
            <a:rPr lang="en-IN"/>
          </a:br>
          <a:r>
            <a:rPr lang="en-IN"/>
            <a:t>=LEN("Excel 2025") → </a:t>
          </a:r>
          <a:r>
            <a:rPr lang="en-IN" b="1"/>
            <a:t>10</a:t>
          </a:r>
        </a:p>
        <a:p>
          <a:endParaRPr lang="en-IN"/>
        </a:p>
        <a:p>
          <a:r>
            <a:rPr lang="en-IN" b="1"/>
            <a:t>LEFT</a:t>
          </a:r>
          <a:r>
            <a:rPr lang="en-IN"/>
            <a:t>:</a:t>
          </a:r>
          <a:br>
            <a:rPr lang="en-IN"/>
          </a:br>
          <a:r>
            <a:rPr lang="en-IN"/>
            <a:t>=LEFT("Excel", 2) → </a:t>
          </a:r>
          <a:r>
            <a:rPr lang="en-IN" b="1"/>
            <a:t>"Ex"</a:t>
          </a:r>
        </a:p>
        <a:p>
          <a:endParaRPr lang="en-IN"/>
        </a:p>
        <a:p>
          <a:r>
            <a:rPr lang="en-IN" b="1"/>
            <a:t>RIGHT</a:t>
          </a:r>
          <a:r>
            <a:rPr lang="en-IN"/>
            <a:t>:</a:t>
          </a:r>
          <a:br>
            <a:rPr lang="en-IN"/>
          </a:br>
          <a:r>
            <a:rPr lang="en-IN"/>
            <a:t>=RIGHT("Excel", 3) → </a:t>
          </a:r>
          <a:r>
            <a:rPr lang="en-IN" b="1"/>
            <a:t>"cel"</a:t>
          </a:r>
        </a:p>
        <a:p>
          <a:endParaRPr lang="en-IN"/>
        </a:p>
        <a:p>
          <a:r>
            <a:rPr lang="en-IN" b="1"/>
            <a:t>MID</a:t>
          </a:r>
          <a:r>
            <a:rPr lang="en-IN"/>
            <a:t>:</a:t>
          </a:r>
          <a:br>
            <a:rPr lang="en-IN"/>
          </a:br>
          <a:r>
            <a:rPr lang="en-IN"/>
            <a:t>=MID("Excel2025", 6, 4) → </a:t>
          </a:r>
          <a:r>
            <a:rPr lang="en-IN" b="1"/>
            <a:t>"2025"</a:t>
          </a:r>
        </a:p>
        <a:p>
          <a:endParaRPr lang="en-IN"/>
        </a:p>
        <a:p>
          <a:r>
            <a:rPr lang="en-IN" b="1"/>
            <a:t>CONCATENATE / CONCAT</a:t>
          </a:r>
          <a:r>
            <a:rPr lang="en-IN"/>
            <a:t>:</a:t>
          </a:r>
          <a:br>
            <a:rPr lang="en-IN"/>
          </a:br>
          <a:r>
            <a:rPr lang="en-IN"/>
            <a:t>=CONCATENATE("Excel", " ", "Functions") → </a:t>
          </a:r>
          <a:r>
            <a:rPr lang="en-IN" b="1"/>
            <a:t>"Excel Functions"</a:t>
          </a:r>
          <a:br>
            <a:rPr lang="en-IN"/>
          </a:br>
          <a:r>
            <a:rPr lang="en-IN"/>
            <a:t>=CONCAT("Excel", " Functions") → </a:t>
          </a:r>
          <a:r>
            <a:rPr lang="en-IN" b="1"/>
            <a:t>"Excel Functions"</a:t>
          </a:r>
        </a:p>
        <a:p>
          <a:endParaRPr lang="en-IN"/>
        </a:p>
        <a:p>
          <a:r>
            <a:rPr lang="en-IN" b="1"/>
            <a:t>TEXT</a:t>
          </a:r>
          <a:r>
            <a:rPr lang="en-IN"/>
            <a:t>:</a:t>
          </a:r>
          <a:br>
            <a:rPr lang="en-IN"/>
          </a:br>
          <a:r>
            <a:rPr lang="en-IN"/>
            <a:t>=TEXT(44561, "dd-mmm-yyyy") → </a:t>
          </a:r>
          <a:r>
            <a:rPr lang="en-IN" b="1"/>
            <a:t>"15-Jan-2022"</a:t>
          </a:r>
          <a:endParaRPr lang="en-IN"/>
        </a:p>
        <a:p>
          <a:r>
            <a:rPr lang="en-IN" b="1"/>
            <a:t>SUBSTITUTE</a:t>
          </a:r>
          <a:r>
            <a:rPr lang="en-IN"/>
            <a:t>:</a:t>
          </a:r>
          <a:br>
            <a:rPr lang="en-IN"/>
          </a:br>
          <a:r>
            <a:rPr lang="en-IN"/>
            <a:t>=SUBSTITUTE("Excel 2019", "2019", "2025") → </a:t>
          </a:r>
          <a:r>
            <a:rPr lang="en-IN" b="1"/>
            <a:t>"Excel 2025"</a:t>
          </a:r>
          <a:endParaRPr lang="en-IN"/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533400</xdr:colOff>
      <xdr:row>68</xdr:row>
      <xdr:rowOff>111371</xdr:rowOff>
    </xdr:from>
    <xdr:to>
      <xdr:col>3</xdr:col>
      <xdr:colOff>1412631</xdr:colOff>
      <xdr:row>77</xdr:row>
      <xdr:rowOff>169985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A589FCD-87CE-6BC0-B50F-6DC3C159FF74}"/>
            </a:ext>
          </a:extLst>
        </xdr:cNvPr>
        <xdr:cNvSpPr/>
      </xdr:nvSpPr>
      <xdr:spPr>
        <a:xfrm>
          <a:off x="1143000" y="16476786"/>
          <a:ext cx="4853354" cy="169398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/>
            <a:t>Examples:</a:t>
          </a:r>
        </a:p>
        <a:p>
          <a:r>
            <a:rPr lang="en-IN"/>
            <a:t>=DATE(2025, 8, 28) → Returns </a:t>
          </a:r>
          <a:r>
            <a:rPr lang="en-IN" b="1"/>
            <a:t>28-Aug-2025</a:t>
          </a:r>
          <a:endParaRPr lang="en-IN"/>
        </a:p>
        <a:p>
          <a:r>
            <a:rPr lang="en-IN"/>
            <a:t>=TIME(14, 30, 0) → Returns </a:t>
          </a:r>
          <a:r>
            <a:rPr lang="en-IN" b="1"/>
            <a:t>2:30 PM</a:t>
          </a:r>
          <a:endParaRPr lang="en-IN"/>
        </a:p>
        <a:p>
          <a:r>
            <a:rPr lang="en-IN"/>
            <a:t>=YEAR("28-Aug-2025") → Returns </a:t>
          </a:r>
          <a:r>
            <a:rPr lang="en-IN" b="1"/>
            <a:t>2025</a:t>
          </a:r>
          <a:endParaRPr lang="en-IN"/>
        </a:p>
        <a:p>
          <a:r>
            <a:rPr lang="en-IN"/>
            <a:t>=MONTH("28-Aug-2025") → Returns </a:t>
          </a:r>
          <a:r>
            <a:rPr lang="en-IN" b="1"/>
            <a:t>8</a:t>
          </a:r>
          <a:endParaRPr lang="en-IN"/>
        </a:p>
        <a:p>
          <a:r>
            <a:rPr lang="en-IN"/>
            <a:t>=DAY("28-Aug-2025") → Returns </a:t>
          </a:r>
          <a:r>
            <a:rPr lang="en-IN" b="1"/>
            <a:t>28</a:t>
          </a:r>
          <a:endParaRPr lang="en-IN"/>
        </a:p>
        <a:p>
          <a:r>
            <a:rPr lang="en-IN"/>
            <a:t>=NETWORKDAYS("01-Aug-2025", "28-Aug-2025") → Returns </a:t>
          </a:r>
          <a:r>
            <a:rPr lang="en-IN" b="1"/>
            <a:t>20</a:t>
          </a:r>
          <a:r>
            <a:rPr lang="en-IN"/>
            <a:t> (excluding weekends)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0F6730-E8ED-419F-89E0-2F791178888E}" name="Table5" displayName="Table5" ref="B2:E7" totalsRowShown="0" headerRowDxfId="13" dataDxfId="12">
  <autoFilter ref="B2:E7" xr:uid="{AF0F6730-E8ED-419F-89E0-2F791178888E}"/>
  <tableColumns count="4">
    <tableColumn id="1" xr3:uid="{89817A79-4F0B-4FB0-97ED-5CD014B9FBC1}" name="Function" dataDxfId="11"/>
    <tableColumn id="2" xr3:uid="{E7CEF013-CCEB-40E0-8A88-A8D44E131A8F}" name="Explanation" dataDxfId="10"/>
    <tableColumn id="3" xr3:uid="{4844CFCE-050D-478F-84BE-07B12B104CD2}" name="Syntax" dataDxfId="9"/>
    <tableColumn id="4" xr3:uid="{C33CA857-0F74-47D6-A0B0-F081F72D5AED}" name="Example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00C224-CE39-43DB-84A6-190885454508}" name="Table6" displayName="Table6" ref="B37:D48" totalsRowShown="0" headerRowDxfId="7">
  <autoFilter ref="B37:D48" xr:uid="{6400C224-CE39-43DB-84A6-190885454508}"/>
  <tableColumns count="3">
    <tableColumn id="1" xr3:uid="{11AEAE66-4E04-4635-A21E-99373BD4B6E6}" name="Function" dataDxfId="6"/>
    <tableColumn id="2" xr3:uid="{87B9E84F-A2AA-4160-9BB3-B72BD6B7D5CD}" name="Explanation" dataDxfId="5"/>
    <tableColumn id="3" xr3:uid="{1B7DE46D-AD07-4549-AB7E-2C14470643E2}" name="Syntax" dataDxfId="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96B74F-7D5E-48FD-99D3-B64732276D10}" name="Table7" displayName="Table7" ref="B61:D67" totalsRowShown="0" headerRowDxfId="3">
  <autoFilter ref="B61:D67" xr:uid="{6296B74F-7D5E-48FD-99D3-B64732276D10}"/>
  <tableColumns count="3">
    <tableColumn id="1" xr3:uid="{85AF2437-A8CC-4F68-A78E-A4A9DBE6967B}" name="Function" dataDxfId="2"/>
    <tableColumn id="2" xr3:uid="{44B9E381-F4CA-44F4-A0E6-8BA9675D4AA8}" name="Explanation" dataDxfId="1"/>
    <tableColumn id="3" xr3:uid="{504AD46B-6775-4269-8F56-ABA4B4BCD0A6}" name="Syntax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7411-8EF5-47C1-B32B-ED4AE8D0BFFB}">
  <dimension ref="A1:A5"/>
  <sheetViews>
    <sheetView workbookViewId="0">
      <selection activeCell="A5" sqref="A5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9BC1-0D43-4EDE-A756-21FA073734D6}">
  <dimension ref="B2:E67"/>
  <sheetViews>
    <sheetView topLeftCell="A43" zoomScale="130" zoomScaleNormal="130" workbookViewId="0">
      <selection activeCell="E43" sqref="E43"/>
    </sheetView>
  </sheetViews>
  <sheetFormatPr defaultRowHeight="15"/>
  <cols>
    <col min="2" max="2" width="14.5703125" customWidth="1"/>
    <col min="3" max="3" width="43.42578125" customWidth="1"/>
    <col min="4" max="4" width="27.140625" customWidth="1"/>
    <col min="5" max="5" width="26.28515625" bestFit="1" customWidth="1"/>
  </cols>
  <sheetData>
    <row r="2" spans="2:5">
      <c r="B2" s="20" t="s">
        <v>307</v>
      </c>
      <c r="C2" s="20" t="s">
        <v>308</v>
      </c>
      <c r="D2" s="20" t="s">
        <v>309</v>
      </c>
      <c r="E2" s="20" t="s">
        <v>310</v>
      </c>
    </row>
    <row r="3" spans="2:5" ht="45">
      <c r="B3" s="17" t="s">
        <v>311</v>
      </c>
      <c r="C3" s="17" t="s">
        <v>312</v>
      </c>
      <c r="D3" s="17" t="s">
        <v>320</v>
      </c>
      <c r="E3" s="17" t="str">
        <f>IF(A2&gt;=40,"Pass","Fail")</f>
        <v>Fail</v>
      </c>
    </row>
    <row r="4" spans="2:5" ht="30">
      <c r="B4" s="17" t="s">
        <v>313</v>
      </c>
      <c r="C4" s="17" t="s">
        <v>317</v>
      </c>
      <c r="D4" s="17" t="s">
        <v>321</v>
      </c>
      <c r="E4" s="17" t="b">
        <f>AND(A2&gt;50,B2&gt;60)</f>
        <v>0</v>
      </c>
    </row>
    <row r="5" spans="2:5" ht="30">
      <c r="B5" s="17" t="s">
        <v>305</v>
      </c>
      <c r="C5" s="17" t="s">
        <v>318</v>
      </c>
      <c r="D5" s="17" t="s">
        <v>322</v>
      </c>
      <c r="E5" s="17" t="b">
        <f>OR(A2&gt;50,B2&gt;60)</f>
        <v>1</v>
      </c>
    </row>
    <row r="6" spans="2:5" ht="30">
      <c r="B6" s="17" t="s">
        <v>314</v>
      </c>
      <c r="C6" s="17" t="s">
        <v>315</v>
      </c>
      <c r="D6" s="17" t="s">
        <v>323</v>
      </c>
      <c r="E6" s="17" t="s">
        <v>319</v>
      </c>
    </row>
    <row r="7" spans="2:5" ht="45">
      <c r="B7" s="17" t="s">
        <v>306</v>
      </c>
      <c r="C7" s="17" t="s">
        <v>316</v>
      </c>
      <c r="D7" s="17" t="s">
        <v>324</v>
      </c>
      <c r="E7" s="17" t="str">
        <f>IF(A2&gt;=80,"A",IF(A2&gt;=60,"B","C"))</f>
        <v>C</v>
      </c>
    </row>
    <row r="37" spans="2:4">
      <c r="B37" s="12" t="s">
        <v>307</v>
      </c>
      <c r="C37" s="12" t="s">
        <v>308</v>
      </c>
      <c r="D37" s="12" t="s">
        <v>309</v>
      </c>
    </row>
    <row r="38" spans="2:4" ht="30">
      <c r="B38" s="18" t="s">
        <v>325</v>
      </c>
      <c r="C38" s="13" t="s">
        <v>326</v>
      </c>
      <c r="D38" s="19" t="s">
        <v>327</v>
      </c>
    </row>
    <row r="39" spans="2:4" ht="30">
      <c r="B39" s="18" t="s">
        <v>328</v>
      </c>
      <c r="C39" s="13" t="s">
        <v>329</v>
      </c>
      <c r="D39" s="19" t="s">
        <v>330</v>
      </c>
    </row>
    <row r="40" spans="2:4" ht="30">
      <c r="B40" s="18" t="s">
        <v>331</v>
      </c>
      <c r="C40" s="13" t="s">
        <v>332</v>
      </c>
      <c r="D40" s="19" t="s">
        <v>333</v>
      </c>
    </row>
    <row r="41" spans="2:4" ht="30">
      <c r="B41" s="18" t="s">
        <v>334</v>
      </c>
      <c r="C41" s="13" t="s">
        <v>335</v>
      </c>
      <c r="D41" s="19" t="s">
        <v>336</v>
      </c>
    </row>
    <row r="42" spans="2:4" ht="30">
      <c r="B42" s="18" t="s">
        <v>337</v>
      </c>
      <c r="C42" s="13" t="s">
        <v>338</v>
      </c>
      <c r="D42" s="19" t="s">
        <v>339</v>
      </c>
    </row>
    <row r="43" spans="2:4" ht="30">
      <c r="B43" s="18" t="s">
        <v>174</v>
      </c>
      <c r="C43" s="13" t="s">
        <v>340</v>
      </c>
      <c r="D43" s="19" t="s">
        <v>341</v>
      </c>
    </row>
    <row r="44" spans="2:4" ht="30">
      <c r="B44" s="18" t="s">
        <v>342</v>
      </c>
      <c r="C44" s="13" t="s">
        <v>343</v>
      </c>
      <c r="D44" s="19" t="s">
        <v>344</v>
      </c>
    </row>
    <row r="45" spans="2:4" ht="30">
      <c r="B45" s="18" t="s">
        <v>345</v>
      </c>
      <c r="C45" s="13" t="s">
        <v>346</v>
      </c>
      <c r="D45" s="19" t="s">
        <v>347</v>
      </c>
    </row>
    <row r="46" spans="2:4" ht="45">
      <c r="B46" s="18" t="s">
        <v>348</v>
      </c>
      <c r="C46" s="13" t="s">
        <v>349</v>
      </c>
      <c r="D46" s="19" t="s">
        <v>350</v>
      </c>
    </row>
    <row r="47" spans="2:4" ht="30">
      <c r="B47" s="18" t="s">
        <v>351</v>
      </c>
      <c r="C47" s="13" t="s">
        <v>352</v>
      </c>
      <c r="D47" s="19" t="s">
        <v>353</v>
      </c>
    </row>
    <row r="48" spans="2:4" ht="25.5">
      <c r="B48" s="18" t="s">
        <v>354</v>
      </c>
      <c r="C48" s="13" t="s">
        <v>355</v>
      </c>
      <c r="D48" s="19" t="s">
        <v>356</v>
      </c>
    </row>
    <row r="61" spans="2:4">
      <c r="B61" s="12" t="s">
        <v>307</v>
      </c>
      <c r="C61" s="12" t="s">
        <v>308</v>
      </c>
      <c r="D61" s="12" t="s">
        <v>309</v>
      </c>
    </row>
    <row r="62" spans="2:4" ht="30">
      <c r="B62" s="13" t="s">
        <v>212</v>
      </c>
      <c r="C62" s="13" t="s">
        <v>357</v>
      </c>
      <c r="D62" s="19" t="s">
        <v>358</v>
      </c>
    </row>
    <row r="63" spans="2:4" ht="30">
      <c r="B63" s="13" t="s">
        <v>359</v>
      </c>
      <c r="C63" s="13" t="s">
        <v>360</v>
      </c>
      <c r="D63" s="19" t="s">
        <v>361</v>
      </c>
    </row>
    <row r="64" spans="2:4">
      <c r="B64" s="13" t="s">
        <v>362</v>
      </c>
      <c r="C64" s="13" t="s">
        <v>363</v>
      </c>
      <c r="D64" s="19" t="s">
        <v>364</v>
      </c>
    </row>
    <row r="65" spans="2:4">
      <c r="B65" s="13" t="s">
        <v>365</v>
      </c>
      <c r="C65" s="13" t="s">
        <v>366</v>
      </c>
      <c r="D65" s="19" t="s">
        <v>367</v>
      </c>
    </row>
    <row r="66" spans="2:4">
      <c r="B66" s="13" t="s">
        <v>368</v>
      </c>
      <c r="C66" s="13" t="s">
        <v>369</v>
      </c>
      <c r="D66" s="19" t="s">
        <v>370</v>
      </c>
    </row>
    <row r="67" spans="2:4" ht="45">
      <c r="B67" s="13" t="s">
        <v>371</v>
      </c>
      <c r="C67" s="13" t="s">
        <v>372</v>
      </c>
      <c r="D67" s="19" t="s">
        <v>373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6A59-7DF1-4206-8BBC-4F643A621778}">
  <dimension ref="A1:AB37"/>
  <sheetViews>
    <sheetView tabSelected="1" topLeftCell="F1" workbookViewId="0">
      <selection activeCell="G3" sqref="G3"/>
    </sheetView>
  </sheetViews>
  <sheetFormatPr defaultRowHeight="15"/>
  <cols>
    <col min="7" max="7" width="11" bestFit="1" customWidth="1"/>
    <col min="15" max="15" width="22.42578125" customWidth="1"/>
    <col min="16" max="16" width="20" style="28" customWidth="1"/>
    <col min="17" max="17" width="10.42578125" bestFit="1" customWidth="1"/>
    <col min="18" max="18" width="20.42578125" bestFit="1" customWidth="1"/>
    <col min="24" max="24" width="14.85546875" bestFit="1" customWidth="1"/>
  </cols>
  <sheetData>
    <row r="1" spans="1:28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J1" s="27" t="s">
        <v>378</v>
      </c>
      <c r="K1" s="27" t="s">
        <v>379</v>
      </c>
      <c r="L1" s="27" t="s">
        <v>380</v>
      </c>
      <c r="M1" s="27" t="s">
        <v>173</v>
      </c>
      <c r="N1" s="27" t="s">
        <v>381</v>
      </c>
      <c r="O1" s="27" t="s">
        <v>382</v>
      </c>
      <c r="P1" s="29" t="s">
        <v>383</v>
      </c>
      <c r="Q1" s="27" t="s">
        <v>384</v>
      </c>
      <c r="R1" s="27" t="s">
        <v>170</v>
      </c>
      <c r="S1" s="27" t="s">
        <v>171</v>
      </c>
      <c r="T1" s="27" t="s">
        <v>172</v>
      </c>
      <c r="U1" s="27" t="s">
        <v>385</v>
      </c>
      <c r="V1" s="27" t="s">
        <v>386</v>
      </c>
      <c r="W1" s="27" t="s">
        <v>387</v>
      </c>
      <c r="X1" s="27" t="s">
        <v>304</v>
      </c>
      <c r="Y1" s="27" t="s">
        <v>388</v>
      </c>
    </row>
    <row r="2" spans="1:28" ht="23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47915</v>
      </c>
      <c r="G2" t="s">
        <v>43</v>
      </c>
      <c r="H2" t="str">
        <f t="shared" ref="H2:H9" si="0">IF(NOT(C2="HR"),"Outside From HR", "HR")</f>
        <v>Outside From HR</v>
      </c>
      <c r="J2" t="str">
        <f>LEFT(B2,3)</f>
        <v>Ami</v>
      </c>
      <c r="K2" t="str">
        <f>RIGHT(E2,5)</f>
        <v>k.com</v>
      </c>
      <c r="M2">
        <f>LEN(B2)</f>
        <v>4</v>
      </c>
      <c r="N2">
        <f>FIND("@",E2,5)</f>
        <v>5</v>
      </c>
      <c r="O2" t="str">
        <f>_xlfn.CONCAT(B2," ",C2," ",D2)</f>
        <v>Amit Marketing Mumbai</v>
      </c>
      <c r="P2" s="28" t="str">
        <f>TEXT(F2,"₹##,###")</f>
        <v>₹47,915</v>
      </c>
      <c r="Q2" t="str">
        <f>TEXT(G2,"MMM-YYYY")</f>
        <v>Jan-2020</v>
      </c>
      <c r="R2" t="str">
        <f>UPPER(B2)</f>
        <v>AMIT</v>
      </c>
      <c r="S2" t="str">
        <f>LOWER(B2)</f>
        <v>amit</v>
      </c>
      <c r="T2" t="str">
        <f>PROPER(B2)</f>
        <v>Amit</v>
      </c>
      <c r="U2">
        <f>YEAR(G2)</f>
        <v>2020</v>
      </c>
      <c r="V2">
        <f>MONTH(G2)</f>
        <v>1</v>
      </c>
      <c r="W2">
        <f>DAY(G2)</f>
        <v>1</v>
      </c>
      <c r="X2" s="11">
        <f>DATE(W35,W36,W37)</f>
        <v>45996</v>
      </c>
      <c r="Y2" s="11">
        <f>EDATE(G2,6)</f>
        <v>44013</v>
      </c>
      <c r="AB2" s="1" t="s">
        <v>4</v>
      </c>
    </row>
    <row r="3" spans="1:28">
      <c r="A3" t="s">
        <v>44</v>
      </c>
      <c r="B3" t="s">
        <v>45</v>
      </c>
      <c r="C3" t="s">
        <v>46</v>
      </c>
      <c r="D3" t="s">
        <v>47</v>
      </c>
      <c r="E3" t="s">
        <v>48</v>
      </c>
      <c r="F3">
        <v>30163</v>
      </c>
      <c r="G3" t="s">
        <v>49</v>
      </c>
      <c r="H3" t="str">
        <f t="shared" si="0"/>
        <v>HR</v>
      </c>
      <c r="J3" t="str">
        <f t="shared" ref="J3:J31" si="1">LEFT(B3,3)</f>
        <v>Ros</v>
      </c>
      <c r="K3" t="str">
        <f t="shared" ref="K3:K31" si="2">RIGHT(E3,5)</f>
        <v>l.com</v>
      </c>
      <c r="M3">
        <f t="shared" ref="M3:M31" si="3">LEN(B3)</f>
        <v>6</v>
      </c>
      <c r="N3">
        <f t="shared" ref="N3:N31" si="4">FIND("@",E3,5)</f>
        <v>7</v>
      </c>
      <c r="O3" t="str">
        <f t="shared" ref="O3:O31" si="5">_xlfn.CONCAT(B3," ",C3," ",D3)</f>
        <v>Roshni HR Kolkata</v>
      </c>
      <c r="P3" s="28" t="str">
        <f t="shared" ref="P3:P31" si="6">TEXT(F3,"₹##,###")</f>
        <v>₹30,163</v>
      </c>
      <c r="Q3" t="str">
        <f t="shared" ref="Q3:Q31" si="7">TEXT(G3,"MMM-YYYY")</f>
        <v>30-05-2020</v>
      </c>
      <c r="R3" t="str">
        <f t="shared" ref="R3:R31" si="8">UPPER(B3)</f>
        <v>ROSHNI</v>
      </c>
      <c r="S3" t="str">
        <f t="shared" ref="S3:S31" si="9">LOWER(B3)</f>
        <v>roshni</v>
      </c>
      <c r="T3" t="str">
        <f t="shared" ref="T3:T31" si="10">PROPER(B3)</f>
        <v>Roshni</v>
      </c>
      <c r="U3" t="e">
        <f t="shared" ref="U3:U31" si="11">YEAR(G3)</f>
        <v>#VALUE!</v>
      </c>
      <c r="V3" t="e">
        <f t="shared" ref="V3:V31" si="12">MONTH(G3)</f>
        <v>#VALUE!</v>
      </c>
      <c r="W3" t="e">
        <f t="shared" ref="W3:W31" si="13">DAY(G3)</f>
        <v>#VALUE!</v>
      </c>
      <c r="X3" s="15">
        <f ca="1">NOW()</f>
        <v>46124.686947222224</v>
      </c>
      <c r="Y3" s="11" t="e">
        <f>EDATE(G3,5)</f>
        <v>#VALUE!</v>
      </c>
      <c r="AB3" s="2" t="s">
        <v>5</v>
      </c>
    </row>
    <row r="4" spans="1:28">
      <c r="A4" t="s">
        <v>50</v>
      </c>
      <c r="B4" t="s">
        <v>51</v>
      </c>
      <c r="C4" t="s">
        <v>52</v>
      </c>
      <c r="D4" t="s">
        <v>47</v>
      </c>
      <c r="E4" t="s">
        <v>53</v>
      </c>
      <c r="F4">
        <v>43607</v>
      </c>
      <c r="G4" t="s">
        <v>54</v>
      </c>
      <c r="H4" t="str">
        <f t="shared" si="0"/>
        <v>Outside From HR</v>
      </c>
      <c r="J4" t="str">
        <f t="shared" si="1"/>
        <v>Neh</v>
      </c>
      <c r="K4" t="str">
        <f t="shared" si="2"/>
        <v>l.com</v>
      </c>
      <c r="M4">
        <f t="shared" si="3"/>
        <v>4</v>
      </c>
      <c r="N4">
        <f t="shared" si="4"/>
        <v>5</v>
      </c>
      <c r="O4" t="str">
        <f t="shared" si="5"/>
        <v>Neha Sales Kolkata</v>
      </c>
      <c r="P4" s="28" t="str">
        <f t="shared" si="6"/>
        <v>₹43,607</v>
      </c>
      <c r="Q4" t="str">
        <f t="shared" si="7"/>
        <v>27-10-2020</v>
      </c>
      <c r="R4" t="str">
        <f t="shared" si="8"/>
        <v>NEHA</v>
      </c>
      <c r="S4" t="str">
        <f t="shared" si="9"/>
        <v>neha</v>
      </c>
      <c r="T4" t="str">
        <f t="shared" si="10"/>
        <v>Neha</v>
      </c>
      <c r="U4" t="e">
        <f t="shared" si="11"/>
        <v>#VALUE!</v>
      </c>
      <c r="V4" t="e">
        <f t="shared" si="12"/>
        <v>#VALUE!</v>
      </c>
      <c r="W4" t="e">
        <f t="shared" si="13"/>
        <v>#VALUE!</v>
      </c>
      <c r="Y4" s="11" t="e">
        <f t="shared" ref="Y3:Y31" si="14">EDATE(G4,6)</f>
        <v>#VALUE!</v>
      </c>
      <c r="AB4" s="2" t="s">
        <v>6</v>
      </c>
    </row>
    <row r="5" spans="1:28">
      <c r="A5" t="s">
        <v>55</v>
      </c>
      <c r="B5" t="s">
        <v>56</v>
      </c>
      <c r="C5" t="s">
        <v>40</v>
      </c>
      <c r="D5" t="s">
        <v>57</v>
      </c>
      <c r="E5" t="s">
        <v>58</v>
      </c>
      <c r="F5">
        <v>75538</v>
      </c>
      <c r="G5" t="s">
        <v>59</v>
      </c>
      <c r="H5" t="str">
        <f t="shared" si="0"/>
        <v>Outside From HR</v>
      </c>
      <c r="J5" t="str">
        <f t="shared" si="1"/>
        <v>Raj</v>
      </c>
      <c r="K5" t="str">
        <f t="shared" si="2"/>
        <v>l.com</v>
      </c>
      <c r="M5">
        <f t="shared" si="3"/>
        <v>3</v>
      </c>
      <c r="N5" t="e">
        <f t="shared" si="4"/>
        <v>#VALUE!</v>
      </c>
      <c r="O5" t="str">
        <f t="shared" si="5"/>
        <v>Raj Marketing Hyderabad</v>
      </c>
      <c r="P5" s="28" t="str">
        <f t="shared" si="6"/>
        <v>₹75,538</v>
      </c>
      <c r="Q5" t="str">
        <f t="shared" si="7"/>
        <v>26-03-2021</v>
      </c>
      <c r="R5" t="str">
        <f t="shared" si="8"/>
        <v>RAJ</v>
      </c>
      <c r="S5" t="str">
        <f t="shared" si="9"/>
        <v>raj</v>
      </c>
      <c r="T5" t="str">
        <f t="shared" si="10"/>
        <v>Raj</v>
      </c>
      <c r="U5" t="e">
        <f t="shared" si="11"/>
        <v>#VALUE!</v>
      </c>
      <c r="V5" t="e">
        <f t="shared" si="12"/>
        <v>#VALUE!</v>
      </c>
      <c r="W5" t="e">
        <f t="shared" si="13"/>
        <v>#VALUE!</v>
      </c>
      <c r="Y5" s="11" t="e">
        <f t="shared" si="14"/>
        <v>#VALUE!</v>
      </c>
      <c r="AB5" s="2" t="s">
        <v>7</v>
      </c>
    </row>
    <row r="6" spans="1:28">
      <c r="A6" t="s">
        <v>60</v>
      </c>
      <c r="B6" t="s">
        <v>61</v>
      </c>
      <c r="C6" t="s">
        <v>46</v>
      </c>
      <c r="D6" t="s">
        <v>62</v>
      </c>
      <c r="E6" t="s">
        <v>63</v>
      </c>
      <c r="F6">
        <v>48444</v>
      </c>
      <c r="G6" t="s">
        <v>64</v>
      </c>
      <c r="H6" t="str">
        <f t="shared" si="0"/>
        <v>HR</v>
      </c>
      <c r="J6" t="str">
        <f t="shared" si="1"/>
        <v>Sim</v>
      </c>
      <c r="K6" t="str">
        <f t="shared" si="2"/>
        <v>y.com</v>
      </c>
      <c r="M6">
        <f t="shared" si="3"/>
        <v>6</v>
      </c>
      <c r="N6">
        <f t="shared" si="4"/>
        <v>7</v>
      </c>
      <c r="O6" t="str">
        <f t="shared" si="5"/>
        <v>Simran HR Delhi</v>
      </c>
      <c r="P6" s="28" t="str">
        <f t="shared" si="6"/>
        <v>₹48,444</v>
      </c>
      <c r="Q6" t="str">
        <f t="shared" si="7"/>
        <v>23-08-2021</v>
      </c>
      <c r="R6" t="str">
        <f t="shared" si="8"/>
        <v>SIMRAN</v>
      </c>
      <c r="S6" t="str">
        <f t="shared" si="9"/>
        <v>simran</v>
      </c>
      <c r="T6" t="str">
        <f t="shared" si="10"/>
        <v>Simran</v>
      </c>
      <c r="U6" t="e">
        <f t="shared" si="11"/>
        <v>#VALUE!</v>
      </c>
      <c r="V6" t="e">
        <f t="shared" si="12"/>
        <v>#VALUE!</v>
      </c>
      <c r="W6" t="e">
        <f t="shared" si="13"/>
        <v>#VALUE!</v>
      </c>
      <c r="Y6" s="11" t="e">
        <f t="shared" si="14"/>
        <v>#VALUE!</v>
      </c>
      <c r="AB6" s="2" t="s">
        <v>8</v>
      </c>
    </row>
    <row r="7" spans="1:28">
      <c r="A7" t="s">
        <v>65</v>
      </c>
      <c r="B7" t="s">
        <v>66</v>
      </c>
      <c r="C7" t="s">
        <v>67</v>
      </c>
      <c r="D7" t="s">
        <v>68</v>
      </c>
      <c r="E7" t="s">
        <v>69</v>
      </c>
      <c r="F7">
        <v>52609</v>
      </c>
      <c r="G7" t="s">
        <v>70</v>
      </c>
      <c r="H7" t="str">
        <f t="shared" si="0"/>
        <v>Outside From HR</v>
      </c>
      <c r="J7" t="str">
        <f t="shared" si="1"/>
        <v>Arj</v>
      </c>
      <c r="K7" t="str">
        <f t="shared" si="2"/>
        <v>k.com</v>
      </c>
      <c r="M7">
        <f t="shared" si="3"/>
        <v>5</v>
      </c>
      <c r="N7">
        <f t="shared" si="4"/>
        <v>6</v>
      </c>
      <c r="O7" t="str">
        <f t="shared" si="5"/>
        <v>Arjun IT Chennai</v>
      </c>
      <c r="P7" s="28" t="str">
        <f t="shared" si="6"/>
        <v>₹52,609</v>
      </c>
      <c r="Q7" t="str">
        <f t="shared" si="7"/>
        <v>20-01-2022</v>
      </c>
      <c r="R7" t="str">
        <f t="shared" si="8"/>
        <v>ARJUN</v>
      </c>
      <c r="S7" t="str">
        <f t="shared" si="9"/>
        <v>arjun</v>
      </c>
      <c r="T7" t="str">
        <f t="shared" si="10"/>
        <v>Arjun</v>
      </c>
      <c r="U7" t="e">
        <f t="shared" si="11"/>
        <v>#VALUE!</v>
      </c>
      <c r="V7" t="e">
        <f t="shared" si="12"/>
        <v>#VALUE!</v>
      </c>
      <c r="W7" t="e">
        <f t="shared" si="13"/>
        <v>#VALUE!</v>
      </c>
      <c r="Y7" s="11" t="e">
        <f t="shared" si="14"/>
        <v>#VALUE!</v>
      </c>
      <c r="AB7" s="2" t="s">
        <v>9</v>
      </c>
    </row>
    <row r="8" spans="1:28">
      <c r="A8" t="s">
        <v>71</v>
      </c>
      <c r="B8" t="s">
        <v>72</v>
      </c>
      <c r="C8" t="s">
        <v>67</v>
      </c>
      <c r="D8" t="s">
        <v>41</v>
      </c>
      <c r="E8" t="s">
        <v>73</v>
      </c>
      <c r="F8">
        <v>60730</v>
      </c>
      <c r="G8" t="s">
        <v>74</v>
      </c>
      <c r="H8" t="str">
        <f t="shared" si="0"/>
        <v>Outside From HR</v>
      </c>
      <c r="J8" t="str">
        <f t="shared" si="1"/>
        <v>Mee</v>
      </c>
      <c r="K8" t="str">
        <f t="shared" si="2"/>
        <v>y.com</v>
      </c>
      <c r="M8">
        <f t="shared" si="3"/>
        <v>5</v>
      </c>
      <c r="N8">
        <f t="shared" si="4"/>
        <v>6</v>
      </c>
      <c r="O8" t="str">
        <f t="shared" si="5"/>
        <v>Meera IT Mumbai</v>
      </c>
      <c r="P8" s="28" t="str">
        <f t="shared" si="6"/>
        <v>₹60,730</v>
      </c>
      <c r="Q8" t="str">
        <f t="shared" si="7"/>
        <v>19-06-2022</v>
      </c>
      <c r="R8" t="str">
        <f t="shared" si="8"/>
        <v>MEERA</v>
      </c>
      <c r="S8" t="str">
        <f t="shared" si="9"/>
        <v>meera</v>
      </c>
      <c r="T8" t="str">
        <f t="shared" si="10"/>
        <v>Meera</v>
      </c>
      <c r="U8" t="e">
        <f t="shared" si="11"/>
        <v>#VALUE!</v>
      </c>
      <c r="V8" t="e">
        <f t="shared" si="12"/>
        <v>#VALUE!</v>
      </c>
      <c r="W8" t="e">
        <f t="shared" si="13"/>
        <v>#VALUE!</v>
      </c>
      <c r="Y8" s="11" t="e">
        <f t="shared" si="14"/>
        <v>#VALUE!</v>
      </c>
      <c r="AB8" s="2" t="s">
        <v>10</v>
      </c>
    </row>
    <row r="9" spans="1:28">
      <c r="A9" t="s">
        <v>75</v>
      </c>
      <c r="B9" t="s">
        <v>76</v>
      </c>
      <c r="C9" t="s">
        <v>52</v>
      </c>
      <c r="D9" t="s">
        <v>68</v>
      </c>
      <c r="E9" t="s">
        <v>77</v>
      </c>
      <c r="F9">
        <v>30172</v>
      </c>
      <c r="G9" t="s">
        <v>78</v>
      </c>
      <c r="H9" t="str">
        <f t="shared" si="0"/>
        <v>Outside From HR</v>
      </c>
      <c r="J9" t="str">
        <f t="shared" si="1"/>
        <v>Kun</v>
      </c>
      <c r="K9" t="str">
        <f t="shared" si="2"/>
        <v>o.com</v>
      </c>
      <c r="M9">
        <f t="shared" si="3"/>
        <v>5</v>
      </c>
      <c r="N9">
        <f t="shared" si="4"/>
        <v>6</v>
      </c>
      <c r="O9" t="str">
        <f t="shared" si="5"/>
        <v>Kunal Sales Chennai</v>
      </c>
      <c r="P9" s="28" t="str">
        <f t="shared" si="6"/>
        <v>₹30,172</v>
      </c>
      <c r="Q9" t="str">
        <f t="shared" si="7"/>
        <v>16-11-2022</v>
      </c>
      <c r="R9" t="str">
        <f t="shared" si="8"/>
        <v>KUNAL</v>
      </c>
      <c r="S9" t="str">
        <f t="shared" si="9"/>
        <v>kunal</v>
      </c>
      <c r="T9" t="str">
        <f t="shared" si="10"/>
        <v>Kunal</v>
      </c>
      <c r="U9" t="e">
        <f t="shared" si="11"/>
        <v>#VALUE!</v>
      </c>
      <c r="V9" t="e">
        <f t="shared" si="12"/>
        <v>#VALUE!</v>
      </c>
      <c r="W9" t="e">
        <f t="shared" si="13"/>
        <v>#VALUE!</v>
      </c>
      <c r="Y9" s="11" t="e">
        <f t="shared" si="14"/>
        <v>#VALUE!</v>
      </c>
      <c r="AB9" s="2" t="s">
        <v>11</v>
      </c>
    </row>
    <row r="10" spans="1:28" ht="23.25">
      <c r="A10" t="s">
        <v>79</v>
      </c>
      <c r="B10" t="s">
        <v>80</v>
      </c>
      <c r="C10" t="s">
        <v>67</v>
      </c>
      <c r="D10" t="s">
        <v>62</v>
      </c>
      <c r="E10" t="s">
        <v>81</v>
      </c>
      <c r="F10">
        <v>82430</v>
      </c>
      <c r="G10" t="s">
        <v>82</v>
      </c>
      <c r="H10" t="str">
        <f t="shared" ref="H10:H31" si="15">IF(NOT(C10="HR"),"Outside From HR", "HR")</f>
        <v>Outside From HR</v>
      </c>
      <c r="J10" t="str">
        <f t="shared" si="1"/>
        <v>Pri</v>
      </c>
      <c r="K10" t="str">
        <f t="shared" si="2"/>
        <v>o.com</v>
      </c>
      <c r="M10">
        <f t="shared" si="3"/>
        <v>5</v>
      </c>
      <c r="N10">
        <f t="shared" si="4"/>
        <v>6</v>
      </c>
      <c r="O10" t="str">
        <f t="shared" si="5"/>
        <v>Priya IT Delhi</v>
      </c>
      <c r="P10" s="28" t="str">
        <f t="shared" si="6"/>
        <v>₹82,430</v>
      </c>
      <c r="Q10" t="str">
        <f t="shared" si="7"/>
        <v>15-04-2023</v>
      </c>
      <c r="R10" t="str">
        <f t="shared" si="8"/>
        <v>PRIYA</v>
      </c>
      <c r="S10" t="str">
        <f t="shared" si="9"/>
        <v>priya</v>
      </c>
      <c r="T10" t="str">
        <f t="shared" si="10"/>
        <v>Priya</v>
      </c>
      <c r="U10" t="e">
        <f t="shared" si="11"/>
        <v>#VALUE!</v>
      </c>
      <c r="V10" t="e">
        <f t="shared" si="12"/>
        <v>#VALUE!</v>
      </c>
      <c r="W10" t="e">
        <f t="shared" si="13"/>
        <v>#VALUE!</v>
      </c>
      <c r="Y10" s="11" t="e">
        <f t="shared" si="14"/>
        <v>#VALUE!</v>
      </c>
      <c r="AB10" s="1" t="s">
        <v>12</v>
      </c>
    </row>
    <row r="11" spans="1:28">
      <c r="A11" t="s">
        <v>83</v>
      </c>
      <c r="B11" t="s">
        <v>84</v>
      </c>
      <c r="C11" t="s">
        <v>40</v>
      </c>
      <c r="D11" t="s">
        <v>68</v>
      </c>
      <c r="E11" t="s">
        <v>85</v>
      </c>
      <c r="F11">
        <v>63400</v>
      </c>
      <c r="G11" t="s">
        <v>86</v>
      </c>
      <c r="H11" t="str">
        <f t="shared" si="15"/>
        <v>Outside From HR</v>
      </c>
      <c r="J11" t="str">
        <f t="shared" si="1"/>
        <v>Vik</v>
      </c>
      <c r="K11" t="str">
        <f t="shared" si="2"/>
        <v>o.com</v>
      </c>
      <c r="M11">
        <f t="shared" si="3"/>
        <v>5</v>
      </c>
      <c r="N11">
        <f t="shared" si="4"/>
        <v>6</v>
      </c>
      <c r="O11" t="str">
        <f t="shared" si="5"/>
        <v>Vikas Marketing Chennai</v>
      </c>
      <c r="P11" s="28" t="str">
        <f t="shared" si="6"/>
        <v>₹63,400</v>
      </c>
      <c r="Q11" t="str">
        <f t="shared" si="7"/>
        <v>Dec-2023</v>
      </c>
      <c r="R11" t="str">
        <f t="shared" si="8"/>
        <v>VIKAS</v>
      </c>
      <c r="S11" t="str">
        <f t="shared" si="9"/>
        <v>vikas</v>
      </c>
      <c r="T11" t="str">
        <f t="shared" si="10"/>
        <v>Vikas</v>
      </c>
      <c r="U11">
        <f t="shared" si="11"/>
        <v>2023</v>
      </c>
      <c r="V11">
        <f t="shared" si="12"/>
        <v>12</v>
      </c>
      <c r="W11">
        <f t="shared" si="13"/>
        <v>9</v>
      </c>
      <c r="Y11" s="11">
        <f t="shared" si="14"/>
        <v>45452</v>
      </c>
      <c r="AB11" s="2" t="s">
        <v>13</v>
      </c>
    </row>
    <row r="12" spans="1:28">
      <c r="A12" t="s">
        <v>87</v>
      </c>
      <c r="B12" t="s">
        <v>88</v>
      </c>
      <c r="C12" t="s">
        <v>89</v>
      </c>
      <c r="D12" t="s">
        <v>62</v>
      </c>
      <c r="E12" t="s">
        <v>90</v>
      </c>
      <c r="F12">
        <v>45000</v>
      </c>
      <c r="G12" t="s">
        <v>91</v>
      </c>
      <c r="H12" t="str">
        <f t="shared" si="15"/>
        <v>Outside From HR</v>
      </c>
      <c r="J12" t="str">
        <f t="shared" si="1"/>
        <v>Ree</v>
      </c>
      <c r="K12" t="str">
        <f t="shared" si="2"/>
        <v>y.com</v>
      </c>
      <c r="M12">
        <f t="shared" si="3"/>
        <v>5</v>
      </c>
      <c r="N12">
        <f t="shared" si="4"/>
        <v>6</v>
      </c>
      <c r="O12" t="str">
        <f t="shared" si="5"/>
        <v>Reema Finance Delhi</v>
      </c>
      <c r="P12" s="28" t="str">
        <f t="shared" si="6"/>
        <v>₹45,000</v>
      </c>
      <c r="Q12" t="str">
        <f t="shared" si="7"/>
        <v>Sep-2024</v>
      </c>
      <c r="R12" t="str">
        <f t="shared" si="8"/>
        <v>REEMA</v>
      </c>
      <c r="S12" t="str">
        <f t="shared" si="9"/>
        <v>reema</v>
      </c>
      <c r="T12" t="str">
        <f t="shared" si="10"/>
        <v>Reema</v>
      </c>
      <c r="U12">
        <f t="shared" si="11"/>
        <v>2024</v>
      </c>
      <c r="V12">
        <f t="shared" si="12"/>
        <v>9</v>
      </c>
      <c r="W12">
        <f t="shared" si="13"/>
        <v>2</v>
      </c>
      <c r="Y12" s="11">
        <f t="shared" si="14"/>
        <v>45718</v>
      </c>
      <c r="AB12" s="2" t="s">
        <v>14</v>
      </c>
    </row>
    <row r="13" spans="1:28">
      <c r="A13" t="s">
        <v>92</v>
      </c>
      <c r="B13" t="s">
        <v>93</v>
      </c>
      <c r="C13" t="s">
        <v>46</v>
      </c>
      <c r="D13" t="s">
        <v>94</v>
      </c>
      <c r="E13" t="s">
        <v>95</v>
      </c>
      <c r="F13">
        <v>30302</v>
      </c>
      <c r="G13" t="s">
        <v>96</v>
      </c>
      <c r="H13" t="str">
        <f t="shared" si="15"/>
        <v>HR</v>
      </c>
      <c r="J13" t="str">
        <f t="shared" si="1"/>
        <v>Rav</v>
      </c>
      <c r="K13" t="str">
        <f t="shared" si="2"/>
        <v>o.com</v>
      </c>
      <c r="M13">
        <f t="shared" si="3"/>
        <v>4</v>
      </c>
      <c r="N13">
        <f t="shared" si="4"/>
        <v>5</v>
      </c>
      <c r="O13" t="str">
        <f t="shared" si="5"/>
        <v>Ravi HR Bangalore</v>
      </c>
      <c r="P13" s="28" t="str">
        <f t="shared" si="6"/>
        <v>₹30,302</v>
      </c>
      <c r="Q13" t="str">
        <f t="shared" si="7"/>
        <v>Aug-2024</v>
      </c>
      <c r="R13" t="str">
        <f t="shared" si="8"/>
        <v>RAVI</v>
      </c>
      <c r="S13" t="str">
        <f t="shared" si="9"/>
        <v>ravi</v>
      </c>
      <c r="T13" t="str">
        <f t="shared" si="10"/>
        <v>Ravi</v>
      </c>
      <c r="U13">
        <f t="shared" si="11"/>
        <v>2024</v>
      </c>
      <c r="V13">
        <f t="shared" si="12"/>
        <v>8</v>
      </c>
      <c r="W13">
        <f t="shared" si="13"/>
        <v>7</v>
      </c>
      <c r="Y13" s="11">
        <f t="shared" si="14"/>
        <v>45695</v>
      </c>
      <c r="AB13" s="2" t="s">
        <v>15</v>
      </c>
    </row>
    <row r="14" spans="1:28">
      <c r="A14" t="s">
        <v>97</v>
      </c>
      <c r="B14" t="s">
        <v>98</v>
      </c>
      <c r="C14" t="s">
        <v>46</v>
      </c>
      <c r="D14" t="s">
        <v>47</v>
      </c>
      <c r="E14" t="s">
        <v>99</v>
      </c>
      <c r="F14">
        <v>81170</v>
      </c>
      <c r="G14" t="s">
        <v>100</v>
      </c>
      <c r="H14" t="str">
        <f t="shared" si="15"/>
        <v>HR</v>
      </c>
      <c r="J14" t="str">
        <f t="shared" si="1"/>
        <v>Son</v>
      </c>
      <c r="K14" t="str">
        <f t="shared" si="2"/>
        <v>k.com</v>
      </c>
      <c r="M14">
        <f t="shared" si="3"/>
        <v>5</v>
      </c>
      <c r="N14">
        <f t="shared" si="4"/>
        <v>6</v>
      </c>
      <c r="O14" t="str">
        <f t="shared" si="5"/>
        <v>Sonia HR Kolkata</v>
      </c>
      <c r="P14" s="28" t="str">
        <f t="shared" si="6"/>
        <v>₹81,170</v>
      </c>
      <c r="Q14" t="str">
        <f t="shared" si="7"/>
        <v>May-2024</v>
      </c>
      <c r="R14" t="str">
        <f t="shared" si="8"/>
        <v>SONIA</v>
      </c>
      <c r="S14" t="str">
        <f t="shared" si="9"/>
        <v>sonia</v>
      </c>
      <c r="T14" t="str">
        <f t="shared" si="10"/>
        <v>Sonia</v>
      </c>
      <c r="U14">
        <f t="shared" si="11"/>
        <v>2024</v>
      </c>
      <c r="V14">
        <f t="shared" si="12"/>
        <v>5</v>
      </c>
      <c r="W14">
        <f t="shared" si="13"/>
        <v>12</v>
      </c>
      <c r="Y14" s="11">
        <f t="shared" si="14"/>
        <v>45608</v>
      </c>
      <c r="AB14" s="2" t="s">
        <v>16</v>
      </c>
    </row>
    <row r="15" spans="1:28">
      <c r="A15" t="s">
        <v>101</v>
      </c>
      <c r="B15" t="s">
        <v>102</v>
      </c>
      <c r="C15" t="s">
        <v>89</v>
      </c>
      <c r="D15" t="s">
        <v>41</v>
      </c>
      <c r="E15" t="s">
        <v>103</v>
      </c>
      <c r="F15">
        <v>68352</v>
      </c>
      <c r="G15" t="s">
        <v>104</v>
      </c>
      <c r="H15" t="str">
        <f t="shared" si="15"/>
        <v>Outside From HR</v>
      </c>
      <c r="J15" t="str">
        <f t="shared" si="1"/>
        <v>Dee</v>
      </c>
      <c r="K15" t="str">
        <f t="shared" si="2"/>
        <v>l.com</v>
      </c>
      <c r="M15">
        <f t="shared" si="3"/>
        <v>6</v>
      </c>
      <c r="N15">
        <f t="shared" si="4"/>
        <v>7</v>
      </c>
      <c r="O15" t="str">
        <f t="shared" si="5"/>
        <v>Deepak Finance Mumbai</v>
      </c>
      <c r="P15" s="28" t="str">
        <f t="shared" si="6"/>
        <v>₹68,352</v>
      </c>
      <c r="Q15" t="str">
        <f t="shared" si="7"/>
        <v>Apr-2025</v>
      </c>
      <c r="R15" t="str">
        <f t="shared" si="8"/>
        <v>DEEPAK</v>
      </c>
      <c r="S15" t="str">
        <f t="shared" si="9"/>
        <v>deepak</v>
      </c>
      <c r="T15" t="str">
        <f t="shared" si="10"/>
        <v>Deepak</v>
      </c>
      <c r="U15">
        <f t="shared" si="11"/>
        <v>2025</v>
      </c>
      <c r="V15">
        <f t="shared" si="12"/>
        <v>4</v>
      </c>
      <c r="W15">
        <f t="shared" si="13"/>
        <v>5</v>
      </c>
      <c r="Y15" s="11">
        <f t="shared" si="14"/>
        <v>45935</v>
      </c>
      <c r="AB15" s="2" t="s">
        <v>17</v>
      </c>
    </row>
    <row r="16" spans="1:28">
      <c r="A16" t="s">
        <v>105</v>
      </c>
      <c r="B16" t="s">
        <v>106</v>
      </c>
      <c r="C16" t="s">
        <v>46</v>
      </c>
      <c r="D16" t="s">
        <v>94</v>
      </c>
      <c r="E16" t="s">
        <v>107</v>
      </c>
      <c r="F16">
        <v>76090</v>
      </c>
      <c r="G16" t="s">
        <v>108</v>
      </c>
      <c r="H16" t="str">
        <f t="shared" si="15"/>
        <v>HR</v>
      </c>
      <c r="J16" t="str">
        <f t="shared" si="1"/>
        <v>Nis</v>
      </c>
      <c r="K16" t="str">
        <f t="shared" si="2"/>
        <v>o.com</v>
      </c>
      <c r="M16">
        <f t="shared" si="3"/>
        <v>5</v>
      </c>
      <c r="N16">
        <f t="shared" si="4"/>
        <v>6</v>
      </c>
      <c r="O16" t="str">
        <f t="shared" si="5"/>
        <v>Nisha HR Bangalore</v>
      </c>
      <c r="P16" s="28" t="str">
        <f t="shared" si="6"/>
        <v>₹76,090</v>
      </c>
      <c r="Q16" t="str">
        <f t="shared" si="7"/>
        <v>Jan-2025</v>
      </c>
      <c r="R16" t="str">
        <f t="shared" si="8"/>
        <v>NISHA</v>
      </c>
      <c r="S16" t="str">
        <f t="shared" si="9"/>
        <v>nisha</v>
      </c>
      <c r="T16" t="str">
        <f t="shared" si="10"/>
        <v>Nisha</v>
      </c>
      <c r="U16">
        <f t="shared" si="11"/>
        <v>2025</v>
      </c>
      <c r="V16">
        <f t="shared" si="12"/>
        <v>1</v>
      </c>
      <c r="W16">
        <f t="shared" si="13"/>
        <v>10</v>
      </c>
      <c r="Y16" s="11">
        <f t="shared" si="14"/>
        <v>45848</v>
      </c>
      <c r="AB16" s="2" t="s">
        <v>18</v>
      </c>
    </row>
    <row r="17" spans="1:28">
      <c r="A17" t="s">
        <v>109</v>
      </c>
      <c r="B17" t="s">
        <v>110</v>
      </c>
      <c r="C17" t="s">
        <v>67</v>
      </c>
      <c r="D17" t="s">
        <v>62</v>
      </c>
      <c r="E17" t="s">
        <v>111</v>
      </c>
      <c r="F17">
        <v>84601</v>
      </c>
      <c r="G17" t="s">
        <v>112</v>
      </c>
      <c r="H17" t="str">
        <f t="shared" si="15"/>
        <v>Outside From HR</v>
      </c>
      <c r="J17" t="str">
        <f t="shared" si="1"/>
        <v>Sah</v>
      </c>
      <c r="K17" t="str">
        <f t="shared" si="2"/>
        <v>o.com</v>
      </c>
      <c r="M17">
        <f t="shared" si="3"/>
        <v>5</v>
      </c>
      <c r="N17">
        <f t="shared" si="4"/>
        <v>6</v>
      </c>
      <c r="O17" t="str">
        <f t="shared" si="5"/>
        <v>Sahil IT Delhi</v>
      </c>
      <c r="P17" s="28" t="str">
        <f t="shared" si="6"/>
        <v>₹84,601</v>
      </c>
      <c r="Q17" t="str">
        <f t="shared" si="7"/>
        <v>28-02-2026</v>
      </c>
      <c r="R17" t="str">
        <f t="shared" si="8"/>
        <v>SAHIL</v>
      </c>
      <c r="S17" t="str">
        <f t="shared" si="9"/>
        <v>sahil</v>
      </c>
      <c r="T17" t="str">
        <f t="shared" si="10"/>
        <v>Sahil</v>
      </c>
      <c r="U17" t="e">
        <f t="shared" si="11"/>
        <v>#VALUE!</v>
      </c>
      <c r="V17" t="e">
        <f t="shared" si="12"/>
        <v>#VALUE!</v>
      </c>
      <c r="W17" t="e">
        <f t="shared" si="13"/>
        <v>#VALUE!</v>
      </c>
      <c r="Y17" s="11" t="e">
        <f t="shared" si="14"/>
        <v>#VALUE!</v>
      </c>
      <c r="AB17" s="2" t="s">
        <v>19</v>
      </c>
    </row>
    <row r="18" spans="1:28">
      <c r="A18" t="s">
        <v>113</v>
      </c>
      <c r="B18" t="s">
        <v>114</v>
      </c>
      <c r="C18" t="s">
        <v>89</v>
      </c>
      <c r="D18" t="s">
        <v>94</v>
      </c>
      <c r="E18" t="s">
        <v>115</v>
      </c>
      <c r="F18">
        <v>89471</v>
      </c>
      <c r="G18" t="s">
        <v>116</v>
      </c>
      <c r="H18" t="str">
        <f t="shared" si="15"/>
        <v>Outside From HR</v>
      </c>
      <c r="J18" t="str">
        <f t="shared" si="1"/>
        <v>Poo</v>
      </c>
      <c r="K18" t="str">
        <f t="shared" si="2"/>
        <v>k.com</v>
      </c>
      <c r="M18">
        <f t="shared" si="3"/>
        <v>5</v>
      </c>
      <c r="N18">
        <f t="shared" si="4"/>
        <v>6</v>
      </c>
      <c r="O18" t="str">
        <f t="shared" si="5"/>
        <v>Pooja Finance Bangalore</v>
      </c>
      <c r="P18" s="28" t="str">
        <f t="shared" si="6"/>
        <v>₹89,471</v>
      </c>
      <c r="Q18" t="str">
        <f t="shared" si="7"/>
        <v>28-07-2026</v>
      </c>
      <c r="R18" t="str">
        <f t="shared" si="8"/>
        <v>POOJA</v>
      </c>
      <c r="S18" t="str">
        <f t="shared" si="9"/>
        <v>pooja</v>
      </c>
      <c r="T18" t="str">
        <f t="shared" si="10"/>
        <v>Pooja</v>
      </c>
      <c r="U18" t="e">
        <f t="shared" si="11"/>
        <v>#VALUE!</v>
      </c>
      <c r="V18" t="e">
        <f t="shared" si="12"/>
        <v>#VALUE!</v>
      </c>
      <c r="W18" t="e">
        <f t="shared" si="13"/>
        <v>#VALUE!</v>
      </c>
      <c r="Y18" s="11" t="e">
        <f t="shared" si="14"/>
        <v>#VALUE!</v>
      </c>
      <c r="AB18" s="2" t="s">
        <v>20</v>
      </c>
    </row>
    <row r="19" spans="1:28">
      <c r="A19" t="s">
        <v>117</v>
      </c>
      <c r="B19" t="s">
        <v>118</v>
      </c>
      <c r="C19" t="s">
        <v>52</v>
      </c>
      <c r="D19" t="s">
        <v>41</v>
      </c>
      <c r="E19" t="s">
        <v>119</v>
      </c>
      <c r="F19">
        <v>63265</v>
      </c>
      <c r="G19" t="s">
        <v>120</v>
      </c>
      <c r="H19" t="str">
        <f t="shared" si="15"/>
        <v>Outside From HR</v>
      </c>
      <c r="J19" t="str">
        <f t="shared" si="1"/>
        <v>Tar</v>
      </c>
      <c r="K19" t="str">
        <f t="shared" si="2"/>
        <v>y.com</v>
      </c>
      <c r="M19">
        <f t="shared" si="3"/>
        <v>5</v>
      </c>
      <c r="N19">
        <f t="shared" si="4"/>
        <v>6</v>
      </c>
      <c r="O19" t="str">
        <f t="shared" si="5"/>
        <v>Tarun Sales Mumbai</v>
      </c>
      <c r="P19" s="28" t="str">
        <f t="shared" si="6"/>
        <v>₹63,265</v>
      </c>
      <c r="Q19" t="str">
        <f t="shared" si="7"/>
        <v>25-12-2026</v>
      </c>
      <c r="R19" t="str">
        <f t="shared" si="8"/>
        <v>TARUN</v>
      </c>
      <c r="S19" t="str">
        <f t="shared" si="9"/>
        <v>tarun</v>
      </c>
      <c r="T19" t="str">
        <f t="shared" si="10"/>
        <v>Tarun</v>
      </c>
      <c r="U19" t="e">
        <f t="shared" si="11"/>
        <v>#VALUE!</v>
      </c>
      <c r="V19" t="e">
        <f t="shared" si="12"/>
        <v>#VALUE!</v>
      </c>
      <c r="W19" t="e">
        <f t="shared" si="13"/>
        <v>#VALUE!</v>
      </c>
      <c r="Y19" s="11" t="e">
        <f t="shared" si="14"/>
        <v>#VALUE!</v>
      </c>
      <c r="AB19" s="2" t="s">
        <v>21</v>
      </c>
    </row>
    <row r="20" spans="1:28" ht="23.25">
      <c r="A20" t="s">
        <v>121</v>
      </c>
      <c r="B20" t="s">
        <v>122</v>
      </c>
      <c r="C20" t="s">
        <v>46</v>
      </c>
      <c r="D20" t="s">
        <v>47</v>
      </c>
      <c r="E20" t="s">
        <v>123</v>
      </c>
      <c r="F20">
        <v>47974</v>
      </c>
      <c r="G20" t="s">
        <v>124</v>
      </c>
      <c r="H20" t="str">
        <f t="shared" si="15"/>
        <v>HR</v>
      </c>
      <c r="J20" t="str">
        <f t="shared" si="1"/>
        <v>Div</v>
      </c>
      <c r="K20" t="str">
        <f t="shared" si="2"/>
        <v>l.com</v>
      </c>
      <c r="M20">
        <f t="shared" si="3"/>
        <v>5</v>
      </c>
      <c r="N20">
        <f t="shared" si="4"/>
        <v>6</v>
      </c>
      <c r="O20" t="str">
        <f t="shared" si="5"/>
        <v>Divya HR Kolkata</v>
      </c>
      <c r="P20" s="28" t="str">
        <f t="shared" si="6"/>
        <v>₹47,974</v>
      </c>
      <c r="Q20" t="str">
        <f t="shared" si="7"/>
        <v>24-05-2027</v>
      </c>
      <c r="R20" t="str">
        <f t="shared" si="8"/>
        <v>DIVYA</v>
      </c>
      <c r="S20" t="str">
        <f t="shared" si="9"/>
        <v>divya</v>
      </c>
      <c r="T20" t="str">
        <f t="shared" si="10"/>
        <v>Divya</v>
      </c>
      <c r="U20" t="e">
        <f t="shared" si="11"/>
        <v>#VALUE!</v>
      </c>
      <c r="V20" t="e">
        <f t="shared" si="12"/>
        <v>#VALUE!</v>
      </c>
      <c r="W20" t="e">
        <f t="shared" si="13"/>
        <v>#VALUE!</v>
      </c>
      <c r="Y20" s="11" t="e">
        <f t="shared" si="14"/>
        <v>#VALUE!</v>
      </c>
      <c r="AB20" s="1" t="s">
        <v>22</v>
      </c>
    </row>
    <row r="21" spans="1:28">
      <c r="A21" t="s">
        <v>125</v>
      </c>
      <c r="B21" t="s">
        <v>126</v>
      </c>
      <c r="C21" t="s">
        <v>40</v>
      </c>
      <c r="D21" t="s">
        <v>41</v>
      </c>
      <c r="E21" t="s">
        <v>127</v>
      </c>
      <c r="F21">
        <v>72503</v>
      </c>
      <c r="G21" t="s">
        <v>128</v>
      </c>
      <c r="H21" t="str">
        <f t="shared" si="15"/>
        <v>Outside From HR</v>
      </c>
      <c r="J21" t="str">
        <f t="shared" si="1"/>
        <v>Man</v>
      </c>
      <c r="K21" t="str">
        <f t="shared" si="2"/>
        <v>o.com</v>
      </c>
      <c r="M21">
        <f t="shared" si="3"/>
        <v>6</v>
      </c>
      <c r="N21">
        <f t="shared" si="4"/>
        <v>7</v>
      </c>
      <c r="O21" t="str">
        <f t="shared" si="5"/>
        <v>Manish Marketing Mumbai</v>
      </c>
      <c r="P21" s="28" t="str">
        <f t="shared" si="6"/>
        <v>₹72,503</v>
      </c>
      <c r="Q21" t="str">
        <f t="shared" si="7"/>
        <v>21-10-2027</v>
      </c>
      <c r="R21" t="str">
        <f t="shared" si="8"/>
        <v>MANISH</v>
      </c>
      <c r="S21" t="str">
        <f t="shared" si="9"/>
        <v>manish</v>
      </c>
      <c r="T21" t="str">
        <f t="shared" si="10"/>
        <v>Manish</v>
      </c>
      <c r="U21" t="e">
        <f t="shared" si="11"/>
        <v>#VALUE!</v>
      </c>
      <c r="V21" t="e">
        <f t="shared" si="12"/>
        <v>#VALUE!</v>
      </c>
      <c r="W21" t="e">
        <f t="shared" si="13"/>
        <v>#VALUE!</v>
      </c>
      <c r="Y21" s="11" t="e">
        <f t="shared" si="14"/>
        <v>#VALUE!</v>
      </c>
      <c r="AB21" s="2" t="s">
        <v>23</v>
      </c>
    </row>
    <row r="22" spans="1:28">
      <c r="A22" t="s">
        <v>129</v>
      </c>
      <c r="B22" t="s">
        <v>130</v>
      </c>
      <c r="C22" t="s">
        <v>46</v>
      </c>
      <c r="D22" t="s">
        <v>57</v>
      </c>
      <c r="E22" t="s">
        <v>131</v>
      </c>
      <c r="F22">
        <v>45252</v>
      </c>
      <c r="G22" t="s">
        <v>132</v>
      </c>
      <c r="H22" t="str">
        <f t="shared" si="15"/>
        <v>HR</v>
      </c>
      <c r="J22" t="str">
        <f t="shared" si="1"/>
        <v>Shw</v>
      </c>
      <c r="K22" t="str">
        <f t="shared" si="2"/>
        <v>l.com</v>
      </c>
      <c r="M22">
        <f t="shared" si="3"/>
        <v>6</v>
      </c>
      <c r="N22">
        <f t="shared" si="4"/>
        <v>7</v>
      </c>
      <c r="O22" t="str">
        <f t="shared" si="5"/>
        <v>Shweta HR Hyderabad</v>
      </c>
      <c r="P22" s="28" t="str">
        <f t="shared" si="6"/>
        <v>₹45,252</v>
      </c>
      <c r="Q22" t="str">
        <f t="shared" si="7"/>
        <v>19-03-2028</v>
      </c>
      <c r="R22" t="str">
        <f t="shared" si="8"/>
        <v>SHWETA</v>
      </c>
      <c r="S22" t="str">
        <f t="shared" si="9"/>
        <v>shweta</v>
      </c>
      <c r="T22" t="str">
        <f t="shared" si="10"/>
        <v>Shweta</v>
      </c>
      <c r="U22" t="e">
        <f t="shared" si="11"/>
        <v>#VALUE!</v>
      </c>
      <c r="V22" t="e">
        <f t="shared" si="12"/>
        <v>#VALUE!</v>
      </c>
      <c r="W22" t="e">
        <f t="shared" si="13"/>
        <v>#VALUE!</v>
      </c>
      <c r="Y22" s="11" t="e">
        <f t="shared" si="14"/>
        <v>#VALUE!</v>
      </c>
      <c r="AB22" s="2" t="s">
        <v>24</v>
      </c>
    </row>
    <row r="23" spans="1:28">
      <c r="A23" t="s">
        <v>133</v>
      </c>
      <c r="B23" t="s">
        <v>134</v>
      </c>
      <c r="C23" t="s">
        <v>89</v>
      </c>
      <c r="D23" t="s">
        <v>57</v>
      </c>
      <c r="E23" t="s">
        <v>135</v>
      </c>
      <c r="F23">
        <v>77437</v>
      </c>
      <c r="G23" t="s">
        <v>136</v>
      </c>
      <c r="H23" t="str">
        <f t="shared" si="15"/>
        <v>Outside From HR</v>
      </c>
      <c r="J23" t="str">
        <f t="shared" si="1"/>
        <v>Alo</v>
      </c>
      <c r="K23" t="str">
        <f t="shared" si="2"/>
        <v>l.com</v>
      </c>
      <c r="M23">
        <f t="shared" si="3"/>
        <v>4</v>
      </c>
      <c r="N23">
        <f t="shared" si="4"/>
        <v>5</v>
      </c>
      <c r="O23" t="str">
        <f t="shared" si="5"/>
        <v>Alok Finance Hyderabad</v>
      </c>
      <c r="P23" s="28" t="str">
        <f t="shared" si="6"/>
        <v>₹77,437</v>
      </c>
      <c r="Q23" t="str">
        <f t="shared" si="7"/>
        <v>16-08-2028</v>
      </c>
      <c r="R23" t="str">
        <f t="shared" si="8"/>
        <v>ALOK</v>
      </c>
      <c r="S23" t="str">
        <f t="shared" si="9"/>
        <v>alok</v>
      </c>
      <c r="T23" t="str">
        <f t="shared" si="10"/>
        <v>Alok</v>
      </c>
      <c r="U23" t="e">
        <f t="shared" si="11"/>
        <v>#VALUE!</v>
      </c>
      <c r="V23" t="e">
        <f t="shared" si="12"/>
        <v>#VALUE!</v>
      </c>
      <c r="W23" t="e">
        <f t="shared" si="13"/>
        <v>#VALUE!</v>
      </c>
      <c r="Y23" s="11" t="e">
        <f t="shared" si="14"/>
        <v>#VALUE!</v>
      </c>
      <c r="AB23" s="2" t="s">
        <v>25</v>
      </c>
    </row>
    <row r="24" spans="1:28">
      <c r="A24" t="s">
        <v>137</v>
      </c>
      <c r="B24" t="s">
        <v>138</v>
      </c>
      <c r="C24" t="s">
        <v>67</v>
      </c>
      <c r="D24" t="s">
        <v>68</v>
      </c>
      <c r="E24" t="s">
        <v>139</v>
      </c>
      <c r="F24">
        <v>47889</v>
      </c>
      <c r="G24" t="s">
        <v>140</v>
      </c>
      <c r="H24" t="str">
        <f t="shared" si="15"/>
        <v>Outside From HR</v>
      </c>
      <c r="J24" t="str">
        <f t="shared" si="1"/>
        <v>Kir</v>
      </c>
      <c r="K24" t="str">
        <f t="shared" si="2"/>
        <v>o.com</v>
      </c>
      <c r="M24">
        <f t="shared" si="3"/>
        <v>5</v>
      </c>
      <c r="N24">
        <f t="shared" si="4"/>
        <v>6</v>
      </c>
      <c r="O24" t="str">
        <f t="shared" si="5"/>
        <v>Kirti IT Chennai</v>
      </c>
      <c r="P24" s="28" t="str">
        <f t="shared" si="6"/>
        <v>₹47,889</v>
      </c>
      <c r="Q24" t="str">
        <f t="shared" si="7"/>
        <v>13-01-2029</v>
      </c>
      <c r="R24" t="str">
        <f t="shared" si="8"/>
        <v>KIRTI</v>
      </c>
      <c r="S24" t="str">
        <f t="shared" si="9"/>
        <v>kirti</v>
      </c>
      <c r="T24" t="str">
        <f t="shared" si="10"/>
        <v>Kirti</v>
      </c>
      <c r="U24" t="e">
        <f t="shared" si="11"/>
        <v>#VALUE!</v>
      </c>
      <c r="V24" t="e">
        <f t="shared" si="12"/>
        <v>#VALUE!</v>
      </c>
      <c r="W24" t="e">
        <f t="shared" si="13"/>
        <v>#VALUE!</v>
      </c>
      <c r="Y24" s="11" t="e">
        <f t="shared" si="14"/>
        <v>#VALUE!</v>
      </c>
      <c r="AB24" s="2" t="s">
        <v>26</v>
      </c>
    </row>
    <row r="25" spans="1:28">
      <c r="A25" t="s">
        <v>141</v>
      </c>
      <c r="B25" t="s">
        <v>142</v>
      </c>
      <c r="C25" t="s">
        <v>52</v>
      </c>
      <c r="D25" t="s">
        <v>47</v>
      </c>
      <c r="E25" t="s">
        <v>143</v>
      </c>
      <c r="F25">
        <v>85438</v>
      </c>
      <c r="G25" t="s">
        <v>144</v>
      </c>
      <c r="H25" t="str">
        <f t="shared" si="15"/>
        <v>Outside From HR</v>
      </c>
      <c r="J25" t="str">
        <f t="shared" si="1"/>
        <v>Var</v>
      </c>
      <c r="K25" t="str">
        <f t="shared" si="2"/>
        <v>o.com</v>
      </c>
      <c r="M25">
        <f t="shared" si="3"/>
        <v>5</v>
      </c>
      <c r="N25">
        <f t="shared" si="4"/>
        <v>6</v>
      </c>
      <c r="O25" t="str">
        <f t="shared" si="5"/>
        <v>Varun Sales Kolkata</v>
      </c>
      <c r="P25" s="28" t="str">
        <f t="shared" si="6"/>
        <v>₹85,438</v>
      </c>
      <c r="Q25" t="str">
        <f t="shared" si="7"/>
        <v>Dec-2029</v>
      </c>
      <c r="R25" t="str">
        <f t="shared" si="8"/>
        <v>VARUN</v>
      </c>
      <c r="S25" t="str">
        <f t="shared" si="9"/>
        <v>varun</v>
      </c>
      <c r="T25" t="str">
        <f t="shared" si="10"/>
        <v>Varun</v>
      </c>
      <c r="U25">
        <f t="shared" si="11"/>
        <v>2029</v>
      </c>
      <c r="V25">
        <f t="shared" si="12"/>
        <v>12</v>
      </c>
      <c r="W25">
        <f t="shared" si="13"/>
        <v>6</v>
      </c>
      <c r="Y25" s="11">
        <f t="shared" si="14"/>
        <v>47640</v>
      </c>
      <c r="AB25" s="2" t="s">
        <v>27</v>
      </c>
    </row>
    <row r="26" spans="1:28">
      <c r="A26" t="s">
        <v>145</v>
      </c>
      <c r="B26" t="s">
        <v>146</v>
      </c>
      <c r="C26" t="s">
        <v>89</v>
      </c>
      <c r="D26" t="s">
        <v>41</v>
      </c>
      <c r="E26" t="s">
        <v>147</v>
      </c>
      <c r="F26">
        <v>39471</v>
      </c>
      <c r="G26" t="s">
        <v>148</v>
      </c>
      <c r="H26" t="str">
        <f t="shared" si="15"/>
        <v>Outside From HR</v>
      </c>
      <c r="J26" t="str">
        <f t="shared" si="1"/>
        <v>Tan</v>
      </c>
      <c r="K26" t="str">
        <f t="shared" si="2"/>
        <v>k.com</v>
      </c>
      <c r="M26">
        <f t="shared" si="3"/>
        <v>5</v>
      </c>
      <c r="N26">
        <f t="shared" si="4"/>
        <v>6</v>
      </c>
      <c r="O26" t="str">
        <f t="shared" si="5"/>
        <v>Tanvi Finance Mumbai</v>
      </c>
      <c r="P26" s="28" t="str">
        <f t="shared" si="6"/>
        <v>₹39,471</v>
      </c>
      <c r="Q26" t="str">
        <f t="shared" si="7"/>
        <v>Sep-2029</v>
      </c>
      <c r="R26" t="str">
        <f t="shared" si="8"/>
        <v>TANVI</v>
      </c>
      <c r="S26" t="str">
        <f t="shared" si="9"/>
        <v>tanvi</v>
      </c>
      <c r="T26" t="str">
        <f t="shared" si="10"/>
        <v>Tanvi</v>
      </c>
      <c r="U26">
        <f t="shared" si="11"/>
        <v>2029</v>
      </c>
      <c r="V26">
        <f t="shared" si="12"/>
        <v>9</v>
      </c>
      <c r="W26">
        <f t="shared" si="13"/>
        <v>11</v>
      </c>
      <c r="Y26" s="11">
        <f t="shared" si="14"/>
        <v>47553</v>
      </c>
      <c r="AB26" s="2" t="s">
        <v>28</v>
      </c>
    </row>
    <row r="27" spans="1:28">
      <c r="A27" t="s">
        <v>149</v>
      </c>
      <c r="B27" t="s">
        <v>150</v>
      </c>
      <c r="C27" t="s">
        <v>52</v>
      </c>
      <c r="D27" t="s">
        <v>47</v>
      </c>
      <c r="E27" t="s">
        <v>151</v>
      </c>
      <c r="F27">
        <v>42183</v>
      </c>
      <c r="G27" t="s">
        <v>152</v>
      </c>
      <c r="H27" t="str">
        <f t="shared" si="15"/>
        <v>Outside From HR</v>
      </c>
      <c r="J27" t="str">
        <f t="shared" si="1"/>
        <v>Ank</v>
      </c>
      <c r="K27" t="str">
        <f t="shared" si="2"/>
        <v>o.com</v>
      </c>
      <c r="M27">
        <f t="shared" si="3"/>
        <v>5</v>
      </c>
      <c r="N27">
        <f t="shared" si="4"/>
        <v>6</v>
      </c>
      <c r="O27" t="str">
        <f t="shared" si="5"/>
        <v>Ankit Sales Kolkata</v>
      </c>
      <c r="P27" s="28" t="str">
        <f t="shared" si="6"/>
        <v>₹42,183</v>
      </c>
      <c r="Q27" t="str">
        <f t="shared" si="7"/>
        <v>Aug-2030</v>
      </c>
      <c r="R27" t="str">
        <f t="shared" si="8"/>
        <v>ANKIT</v>
      </c>
      <c r="S27" t="str">
        <f t="shared" si="9"/>
        <v>ankit</v>
      </c>
      <c r="T27" t="str">
        <f t="shared" si="10"/>
        <v>Ankit</v>
      </c>
      <c r="U27">
        <f t="shared" si="11"/>
        <v>2030</v>
      </c>
      <c r="V27">
        <f t="shared" si="12"/>
        <v>8</v>
      </c>
      <c r="W27">
        <f t="shared" si="13"/>
        <v>4</v>
      </c>
      <c r="Y27" s="11">
        <f t="shared" si="14"/>
        <v>47883</v>
      </c>
      <c r="AB27" s="2" t="s">
        <v>29</v>
      </c>
    </row>
    <row r="28" spans="1:28">
      <c r="A28" t="s">
        <v>153</v>
      </c>
      <c r="B28" t="s">
        <v>154</v>
      </c>
      <c r="C28" t="s">
        <v>67</v>
      </c>
      <c r="D28" t="s">
        <v>94</v>
      </c>
      <c r="E28" t="s">
        <v>155</v>
      </c>
      <c r="F28">
        <v>82717</v>
      </c>
      <c r="G28" t="s">
        <v>156</v>
      </c>
      <c r="H28" t="str">
        <f t="shared" si="15"/>
        <v>Outside From HR</v>
      </c>
      <c r="J28" t="str">
        <f t="shared" si="1"/>
        <v>See</v>
      </c>
      <c r="K28" t="str">
        <f t="shared" si="2"/>
        <v>o.com</v>
      </c>
      <c r="M28">
        <f t="shared" si="3"/>
        <v>5</v>
      </c>
      <c r="N28">
        <f t="shared" si="4"/>
        <v>6</v>
      </c>
      <c r="O28" t="str">
        <f t="shared" si="5"/>
        <v>Seema IT Bangalore</v>
      </c>
      <c r="P28" s="28" t="str">
        <f t="shared" si="6"/>
        <v>₹82,717</v>
      </c>
      <c r="Q28" t="str">
        <f t="shared" si="7"/>
        <v>May-2030</v>
      </c>
      <c r="R28" t="str">
        <f t="shared" si="8"/>
        <v>SEEMA</v>
      </c>
      <c r="S28" t="str">
        <f t="shared" si="9"/>
        <v>seema</v>
      </c>
      <c r="T28" t="str">
        <f t="shared" si="10"/>
        <v>Seema</v>
      </c>
      <c r="U28">
        <f t="shared" si="11"/>
        <v>2030</v>
      </c>
      <c r="V28">
        <f t="shared" si="12"/>
        <v>5</v>
      </c>
      <c r="W28">
        <f t="shared" si="13"/>
        <v>9</v>
      </c>
      <c r="Y28" s="11">
        <f t="shared" si="14"/>
        <v>47796</v>
      </c>
      <c r="AB28" s="2" t="s">
        <v>30</v>
      </c>
    </row>
    <row r="29" spans="1:28">
      <c r="A29" t="s">
        <v>157</v>
      </c>
      <c r="B29" t="s">
        <v>158</v>
      </c>
      <c r="C29" t="s">
        <v>67</v>
      </c>
      <c r="D29" t="s">
        <v>94</v>
      </c>
      <c r="E29" t="s">
        <v>159</v>
      </c>
      <c r="F29">
        <v>25214</v>
      </c>
      <c r="G29" t="s">
        <v>160</v>
      </c>
      <c r="H29" t="str">
        <f t="shared" si="15"/>
        <v>Outside From HR</v>
      </c>
      <c r="J29" t="str">
        <f t="shared" si="1"/>
        <v>Gau</v>
      </c>
      <c r="K29" t="str">
        <f t="shared" si="2"/>
        <v>l.com</v>
      </c>
      <c r="M29">
        <f t="shared" si="3"/>
        <v>6</v>
      </c>
      <c r="N29">
        <f t="shared" si="4"/>
        <v>7</v>
      </c>
      <c r="O29" t="str">
        <f t="shared" si="5"/>
        <v>Gaurav IT Bangalore</v>
      </c>
      <c r="P29" s="28" t="str">
        <f t="shared" si="6"/>
        <v>₹25,214</v>
      </c>
      <c r="Q29" t="str">
        <f t="shared" si="7"/>
        <v>Feb-2031</v>
      </c>
      <c r="R29" t="str">
        <f t="shared" si="8"/>
        <v>GAURAV</v>
      </c>
      <c r="S29" t="str">
        <f t="shared" si="9"/>
        <v>gaurav</v>
      </c>
      <c r="T29" t="str">
        <f t="shared" si="10"/>
        <v>Gaurav</v>
      </c>
      <c r="U29">
        <f t="shared" si="11"/>
        <v>2031</v>
      </c>
      <c r="V29">
        <f t="shared" si="12"/>
        <v>2</v>
      </c>
      <c r="W29">
        <f t="shared" si="13"/>
        <v>2</v>
      </c>
      <c r="Y29" s="11">
        <f t="shared" si="14"/>
        <v>48062</v>
      </c>
    </row>
    <row r="30" spans="1:28">
      <c r="A30" t="s">
        <v>161</v>
      </c>
      <c r="B30" t="s">
        <v>162</v>
      </c>
      <c r="C30" t="s">
        <v>67</v>
      </c>
      <c r="D30" t="s">
        <v>41</v>
      </c>
      <c r="E30" t="s">
        <v>163</v>
      </c>
      <c r="F30">
        <v>47560</v>
      </c>
      <c r="G30" t="s">
        <v>164</v>
      </c>
      <c r="H30" t="str">
        <f t="shared" si="15"/>
        <v>Outside From HR</v>
      </c>
      <c r="J30" t="str">
        <f t="shared" si="1"/>
        <v>Anj</v>
      </c>
      <c r="K30" t="str">
        <f t="shared" si="2"/>
        <v>y.com</v>
      </c>
      <c r="M30">
        <f t="shared" si="3"/>
        <v>6</v>
      </c>
      <c r="N30">
        <f t="shared" si="4"/>
        <v>7</v>
      </c>
      <c r="O30" t="str">
        <f t="shared" si="5"/>
        <v>Anjali IT Mumbai</v>
      </c>
      <c r="P30" s="28" t="str">
        <f t="shared" si="6"/>
        <v>₹47,560</v>
      </c>
      <c r="Q30" t="str">
        <f t="shared" si="7"/>
        <v>Feb-2031</v>
      </c>
      <c r="R30" t="str">
        <f t="shared" si="8"/>
        <v>ANJALI</v>
      </c>
      <c r="S30" t="str">
        <f t="shared" si="9"/>
        <v>anjali</v>
      </c>
      <c r="T30" t="str">
        <f t="shared" si="10"/>
        <v>Anjali</v>
      </c>
      <c r="U30">
        <f t="shared" si="11"/>
        <v>2031</v>
      </c>
      <c r="V30">
        <f t="shared" si="12"/>
        <v>2</v>
      </c>
      <c r="W30">
        <f t="shared" si="13"/>
        <v>7</v>
      </c>
      <c r="Y30" s="11">
        <f t="shared" si="14"/>
        <v>48067</v>
      </c>
    </row>
    <row r="31" spans="1:28">
      <c r="A31" t="s">
        <v>165</v>
      </c>
      <c r="B31" t="s">
        <v>166</v>
      </c>
      <c r="C31" t="s">
        <v>67</v>
      </c>
      <c r="D31" t="s">
        <v>47</v>
      </c>
      <c r="E31" t="s">
        <v>167</v>
      </c>
      <c r="F31">
        <v>87627</v>
      </c>
      <c r="G31" t="s">
        <v>168</v>
      </c>
      <c r="H31" t="str">
        <f t="shared" si="15"/>
        <v>Outside From HR</v>
      </c>
      <c r="J31" t="str">
        <f t="shared" si="1"/>
        <v>Rah</v>
      </c>
      <c r="K31" t="str">
        <f t="shared" si="2"/>
        <v>y.com</v>
      </c>
      <c r="M31">
        <f t="shared" si="3"/>
        <v>5</v>
      </c>
      <c r="N31">
        <f t="shared" si="4"/>
        <v>6</v>
      </c>
      <c r="O31" t="str">
        <f t="shared" si="5"/>
        <v>Rahul IT Kolkata</v>
      </c>
      <c r="P31" s="28" t="str">
        <f t="shared" si="6"/>
        <v>₹87,627</v>
      </c>
      <c r="Q31" t="str">
        <f t="shared" si="7"/>
        <v>29-11-2031</v>
      </c>
      <c r="R31" t="str">
        <f t="shared" si="8"/>
        <v>RAHUL</v>
      </c>
      <c r="S31" t="str">
        <f t="shared" si="9"/>
        <v>rahul</v>
      </c>
      <c r="T31" t="str">
        <f t="shared" si="10"/>
        <v>Rahul</v>
      </c>
      <c r="U31" t="e">
        <f t="shared" si="11"/>
        <v>#VALUE!</v>
      </c>
      <c r="V31" t="e">
        <f t="shared" si="12"/>
        <v>#VALUE!</v>
      </c>
      <c r="W31" t="e">
        <f t="shared" si="13"/>
        <v>#VALUE!</v>
      </c>
      <c r="Y31" s="11" t="e">
        <f t="shared" si="14"/>
        <v>#VALUE!</v>
      </c>
    </row>
    <row r="35" spans="23:23">
      <c r="W35">
        <v>2025</v>
      </c>
    </row>
    <row r="36" spans="23:23">
      <c r="W36">
        <v>12</v>
      </c>
    </row>
    <row r="37" spans="23:23">
      <c r="W3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8A8A-26DD-4219-B84D-A5E62C830D5F}">
  <dimension ref="A1:S31"/>
  <sheetViews>
    <sheetView workbookViewId="0">
      <selection activeCell="O2" sqref="O2"/>
    </sheetView>
  </sheetViews>
  <sheetFormatPr defaultRowHeight="15"/>
  <cols>
    <col min="1" max="1" width="17.42578125" bestFit="1" customWidth="1"/>
    <col min="2" max="2" width="9.7109375" bestFit="1" customWidth="1"/>
    <col min="3" max="3" width="11.140625" bestFit="1" customWidth="1"/>
    <col min="4" max="4" width="14" bestFit="1" customWidth="1"/>
    <col min="5" max="5" width="14" customWidth="1"/>
    <col min="6" max="6" width="10.85546875" bestFit="1" customWidth="1"/>
    <col min="9" max="9" width="12.28515625" bestFit="1" customWidth="1"/>
    <col min="14" max="14" width="16.42578125" customWidth="1"/>
    <col min="15" max="15" width="15.7109375" customWidth="1"/>
  </cols>
  <sheetData>
    <row r="1" spans="1:19" ht="30">
      <c r="A1" s="3" t="s">
        <v>31</v>
      </c>
      <c r="B1" s="12" t="s">
        <v>209</v>
      </c>
      <c r="C1" s="12" t="s">
        <v>210</v>
      </c>
      <c r="D1" s="12" t="s">
        <v>273</v>
      </c>
      <c r="E1" s="12" t="s">
        <v>304</v>
      </c>
      <c r="F1" s="4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5" t="s">
        <v>174</v>
      </c>
      <c r="L1" s="5" t="s">
        <v>175</v>
      </c>
      <c r="M1" s="5" t="s">
        <v>176</v>
      </c>
      <c r="N1" s="5" t="s">
        <v>177</v>
      </c>
      <c r="O1" s="5" t="s">
        <v>178</v>
      </c>
      <c r="P1" s="6" t="s">
        <v>272</v>
      </c>
    </row>
    <row r="2" spans="1:19">
      <c r="A2" t="s">
        <v>179</v>
      </c>
      <c r="B2" s="13" t="s">
        <v>221</v>
      </c>
      <c r="C2" s="13" t="s">
        <v>264</v>
      </c>
      <c r="D2" s="13" t="s">
        <v>274</v>
      </c>
      <c r="E2" s="14">
        <v>34923</v>
      </c>
      <c r="F2" t="str">
        <f>TRIM(C2)</f>
        <v>Sharma</v>
      </c>
      <c r="G2" t="str">
        <f>UPPER(B2)</f>
        <v>AARAV</v>
      </c>
      <c r="H2" t="str">
        <f>TRIM(LOWER(C2))</f>
        <v>sharma</v>
      </c>
      <c r="I2" t="str">
        <f>PROPER(H2)</f>
        <v>Sharma</v>
      </c>
      <c r="J2">
        <f>LEN(A2)</f>
        <v>17</v>
      </c>
      <c r="K2" t="str">
        <f>LEFT(D2,4)</f>
        <v>4823</v>
      </c>
      <c r="L2" t="str">
        <f>RIGHT(A2,3)</f>
        <v>100</v>
      </c>
      <c r="M2" t="str">
        <f>MID(A2,5,2)</f>
        <v>Ma</v>
      </c>
      <c r="N2" t="str">
        <f>TRIM(_xlfn.CONCAT(B2," ",C2))</f>
        <v>Aarav Sharma</v>
      </c>
      <c r="O2" t="str">
        <f>TEXT(E2,"ddd,mmm yyyy")</f>
        <v>Sat,Aug 1995</v>
      </c>
      <c r="P2" t="str">
        <f>SUBSTITUTE(B2, "Aarav", "Parav")</f>
        <v>Parav</v>
      </c>
      <c r="R2" s="7"/>
      <c r="S2" s="7"/>
    </row>
    <row r="3" spans="1:19">
      <c r="A3" t="s">
        <v>180</v>
      </c>
      <c r="B3" s="13" t="s">
        <v>222</v>
      </c>
      <c r="C3" s="13" t="s">
        <v>223</v>
      </c>
      <c r="D3" s="13" t="s">
        <v>275</v>
      </c>
      <c r="E3" s="14">
        <v>34924</v>
      </c>
      <c r="F3" t="str">
        <f t="shared" ref="F3:F31" si="0">TRIM(C3)</f>
        <v>Gupta</v>
      </c>
      <c r="G3" t="str">
        <f t="shared" ref="G3:G31" si="1">UPPER(B3)</f>
        <v>RIYA</v>
      </c>
      <c r="H3" t="str">
        <f t="shared" ref="H3:H31" si="2">TRIM(LOWER(C3))</f>
        <v>gupta</v>
      </c>
      <c r="I3" t="str">
        <f t="shared" ref="I3:I31" si="3">PROPER(H3)</f>
        <v>Gupta</v>
      </c>
      <c r="J3">
        <f t="shared" ref="J3:J31" si="4">LEN(A3)</f>
        <v>10</v>
      </c>
      <c r="K3" t="str">
        <f t="shared" ref="K3:K31" si="5">LEFT(D3,4)</f>
        <v>9124</v>
      </c>
      <c r="L3" t="str">
        <f t="shared" ref="L3:L31" si="6">RIGHT(A3,3)</f>
        <v>101</v>
      </c>
      <c r="M3" t="str">
        <f t="shared" ref="M3:M31" si="7">MID(A3,5,2)</f>
        <v>HR</v>
      </c>
      <c r="N3" t="str">
        <f t="shared" ref="N3:N31" si="8">TRIM(_xlfn.CONCAT(B3," ",C3))</f>
        <v>Riya Gupta</v>
      </c>
      <c r="O3" t="str">
        <f t="shared" ref="O3:O31" si="9">TEXT(E3,"ddd,mmm yyyy")</f>
        <v>Sun,Aug 1995</v>
      </c>
      <c r="P3" t="str">
        <f>SUBSTITUTE(B3,"R","P",1)</f>
        <v>Piya</v>
      </c>
      <c r="R3" s="7"/>
    </row>
    <row r="4" spans="1:19">
      <c r="A4" t="s">
        <v>181</v>
      </c>
      <c r="B4" s="13" t="s">
        <v>224</v>
      </c>
      <c r="C4" s="13" t="s">
        <v>265</v>
      </c>
      <c r="D4" s="13" t="s">
        <v>276</v>
      </c>
      <c r="E4" s="14">
        <v>34925</v>
      </c>
      <c r="F4" t="str">
        <f t="shared" si="0"/>
        <v>Verma</v>
      </c>
      <c r="G4" t="str">
        <f t="shared" si="1"/>
        <v>ADITYA</v>
      </c>
      <c r="H4" t="str">
        <f t="shared" si="2"/>
        <v>verma</v>
      </c>
      <c r="I4" t="str">
        <f t="shared" si="3"/>
        <v>Verma</v>
      </c>
      <c r="J4">
        <f t="shared" si="4"/>
        <v>13</v>
      </c>
      <c r="K4" t="str">
        <f t="shared" si="5"/>
        <v>7643</v>
      </c>
      <c r="L4" t="str">
        <f t="shared" si="6"/>
        <v>102</v>
      </c>
      <c r="M4" t="str">
        <f t="shared" si="7"/>
        <v>Sa</v>
      </c>
      <c r="N4" t="str">
        <f t="shared" si="8"/>
        <v>Aditya Verma</v>
      </c>
      <c r="O4" t="str">
        <f t="shared" si="9"/>
        <v>Mon,Aug 1995</v>
      </c>
      <c r="R4" s="7"/>
    </row>
    <row r="5" spans="1:19">
      <c r="A5" t="s">
        <v>182</v>
      </c>
      <c r="B5" s="13" t="s">
        <v>80</v>
      </c>
      <c r="C5" s="13" t="s">
        <v>211</v>
      </c>
      <c r="D5" s="13" t="s">
        <v>277</v>
      </c>
      <c r="E5" s="14">
        <v>34926</v>
      </c>
      <c r="F5" t="str">
        <f t="shared" si="0"/>
        <v>Singh</v>
      </c>
      <c r="G5" t="str">
        <f t="shared" si="1"/>
        <v>PRIYA</v>
      </c>
      <c r="H5" t="str">
        <f t="shared" si="2"/>
        <v>singh</v>
      </c>
      <c r="I5" t="str">
        <f t="shared" si="3"/>
        <v>Singh</v>
      </c>
      <c r="J5">
        <f t="shared" si="4"/>
        <v>17</v>
      </c>
      <c r="K5" t="str">
        <f t="shared" si="5"/>
        <v>1234</v>
      </c>
      <c r="L5" t="str">
        <f t="shared" si="6"/>
        <v>103</v>
      </c>
      <c r="M5" t="str">
        <f t="shared" si="7"/>
        <v>Ma</v>
      </c>
      <c r="N5" t="str">
        <f t="shared" si="8"/>
        <v>Priya Singh</v>
      </c>
      <c r="O5" t="str">
        <f t="shared" si="9"/>
        <v>Tue,Aug 1995</v>
      </c>
      <c r="R5" s="7"/>
    </row>
    <row r="6" spans="1:19">
      <c r="A6" t="s">
        <v>183</v>
      </c>
      <c r="B6" s="13" t="s">
        <v>225</v>
      </c>
      <c r="C6" s="13" t="s">
        <v>226</v>
      </c>
      <c r="D6" s="13" t="s">
        <v>278</v>
      </c>
      <c r="E6" s="14">
        <v>34927</v>
      </c>
      <c r="F6" t="str">
        <f t="shared" si="0"/>
        <v>Yadav</v>
      </c>
      <c r="G6" t="str">
        <f t="shared" si="1"/>
        <v>KARAN</v>
      </c>
      <c r="H6" t="str">
        <f t="shared" si="2"/>
        <v>yadav</v>
      </c>
      <c r="I6" t="str">
        <f t="shared" si="3"/>
        <v>Yadav</v>
      </c>
      <c r="J6">
        <f t="shared" si="4"/>
        <v>10</v>
      </c>
      <c r="K6" t="str">
        <f t="shared" si="5"/>
        <v>3081</v>
      </c>
      <c r="L6" t="str">
        <f t="shared" si="6"/>
        <v>104</v>
      </c>
      <c r="M6" t="str">
        <f t="shared" si="7"/>
        <v>HR</v>
      </c>
      <c r="N6" t="str">
        <f t="shared" si="8"/>
        <v>Karan Yadav</v>
      </c>
      <c r="O6" t="str">
        <f t="shared" si="9"/>
        <v>Wed,Aug 1995</v>
      </c>
      <c r="R6" s="7"/>
    </row>
    <row r="7" spans="1:19">
      <c r="A7" t="s">
        <v>184</v>
      </c>
      <c r="B7" s="13" t="s">
        <v>51</v>
      </c>
      <c r="C7" s="13" t="s">
        <v>227</v>
      </c>
      <c r="D7" s="13" t="s">
        <v>279</v>
      </c>
      <c r="E7" s="14">
        <v>34928</v>
      </c>
      <c r="F7" t="str">
        <f t="shared" si="0"/>
        <v>Mehta</v>
      </c>
      <c r="G7" t="str">
        <f t="shared" si="1"/>
        <v>NEHA</v>
      </c>
      <c r="H7" t="str">
        <f t="shared" si="2"/>
        <v>mehta</v>
      </c>
      <c r="I7" t="str">
        <f t="shared" si="3"/>
        <v>Mehta</v>
      </c>
      <c r="J7">
        <f t="shared" si="4"/>
        <v>10</v>
      </c>
      <c r="K7" t="str">
        <f t="shared" si="5"/>
        <v>6754</v>
      </c>
      <c r="L7" t="str">
        <f t="shared" si="6"/>
        <v>105</v>
      </c>
      <c r="M7" t="str">
        <f t="shared" si="7"/>
        <v>IT</v>
      </c>
      <c r="N7" t="str">
        <f t="shared" si="8"/>
        <v>Neha Mehta</v>
      </c>
      <c r="O7" t="str">
        <f t="shared" si="9"/>
        <v>Thu,Aug 1995</v>
      </c>
      <c r="R7" s="7"/>
    </row>
    <row r="8" spans="1:19">
      <c r="A8" t="s">
        <v>185</v>
      </c>
      <c r="B8" s="13" t="s">
        <v>228</v>
      </c>
      <c r="C8" s="13" t="s">
        <v>229</v>
      </c>
      <c r="D8" s="13" t="s">
        <v>280</v>
      </c>
      <c r="E8" s="14">
        <v>34929</v>
      </c>
      <c r="F8" t="str">
        <f t="shared" si="0"/>
        <v>Iyer</v>
      </c>
      <c r="G8" t="str">
        <f t="shared" si="1"/>
        <v>ROHIT</v>
      </c>
      <c r="H8" t="str">
        <f t="shared" si="2"/>
        <v>iyer</v>
      </c>
      <c r="I8" t="str">
        <f t="shared" si="3"/>
        <v>Iyer</v>
      </c>
      <c r="J8">
        <f t="shared" si="4"/>
        <v>10</v>
      </c>
      <c r="K8" t="str">
        <f t="shared" si="5"/>
        <v>9991</v>
      </c>
      <c r="L8" t="str">
        <f t="shared" si="6"/>
        <v>106</v>
      </c>
      <c r="M8" t="str">
        <f t="shared" si="7"/>
        <v>IT</v>
      </c>
      <c r="N8" t="str">
        <f t="shared" si="8"/>
        <v>Rohit Iyer</v>
      </c>
      <c r="O8" t="str">
        <f t="shared" si="9"/>
        <v>Fri,Aug 1995</v>
      </c>
      <c r="R8" s="7"/>
    </row>
    <row r="9" spans="1:19">
      <c r="A9" t="s">
        <v>186</v>
      </c>
      <c r="B9" s="13" t="s">
        <v>230</v>
      </c>
      <c r="C9" s="13" t="s">
        <v>266</v>
      </c>
      <c r="D9" s="13" t="s">
        <v>281</v>
      </c>
      <c r="E9" s="14">
        <v>34930</v>
      </c>
      <c r="F9" t="str">
        <f t="shared" si="0"/>
        <v>Nair</v>
      </c>
      <c r="G9" t="str">
        <f t="shared" si="1"/>
        <v>ANANYA</v>
      </c>
      <c r="H9" t="str">
        <f t="shared" si="2"/>
        <v>nair</v>
      </c>
      <c r="I9" t="str">
        <f t="shared" si="3"/>
        <v>Nair</v>
      </c>
      <c r="J9">
        <f t="shared" si="4"/>
        <v>13</v>
      </c>
      <c r="K9" t="str">
        <f t="shared" si="5"/>
        <v>5812</v>
      </c>
      <c r="L9" t="str">
        <f t="shared" si="6"/>
        <v>107</v>
      </c>
      <c r="M9" t="str">
        <f t="shared" si="7"/>
        <v>Sa</v>
      </c>
      <c r="N9" t="str">
        <f t="shared" si="8"/>
        <v>Ananya Nair</v>
      </c>
      <c r="O9" t="str">
        <f t="shared" si="9"/>
        <v>Sat,Aug 1995</v>
      </c>
      <c r="R9" s="7"/>
    </row>
    <row r="10" spans="1:19">
      <c r="A10" t="s">
        <v>187</v>
      </c>
      <c r="B10" s="13" t="s">
        <v>231</v>
      </c>
      <c r="C10" s="13" t="s">
        <v>232</v>
      </c>
      <c r="D10" s="13" t="s">
        <v>282</v>
      </c>
      <c r="E10" s="14">
        <v>34931</v>
      </c>
      <c r="F10" t="str">
        <f t="shared" si="0"/>
        <v>Pillai</v>
      </c>
      <c r="G10" t="str">
        <f t="shared" si="1"/>
        <v>SURESH</v>
      </c>
      <c r="H10" t="str">
        <f t="shared" si="2"/>
        <v>pillai</v>
      </c>
      <c r="I10" t="str">
        <f t="shared" si="3"/>
        <v>Pillai</v>
      </c>
      <c r="J10">
        <f t="shared" si="4"/>
        <v>10</v>
      </c>
      <c r="K10" t="str">
        <f t="shared" si="5"/>
        <v>7420</v>
      </c>
      <c r="L10" t="str">
        <f t="shared" si="6"/>
        <v>108</v>
      </c>
      <c r="M10" t="str">
        <f t="shared" si="7"/>
        <v>IT</v>
      </c>
      <c r="N10" t="str">
        <f t="shared" si="8"/>
        <v>Suresh Pillai</v>
      </c>
      <c r="O10" t="str">
        <f t="shared" si="9"/>
        <v>Sun,Aug 1995</v>
      </c>
      <c r="R10" s="7"/>
    </row>
    <row r="11" spans="1:19">
      <c r="A11" t="s">
        <v>188</v>
      </c>
      <c r="B11" s="13" t="s">
        <v>233</v>
      </c>
      <c r="C11" s="13" t="s">
        <v>267</v>
      </c>
      <c r="D11" s="13" t="s">
        <v>283</v>
      </c>
      <c r="E11" s="14">
        <v>34932</v>
      </c>
      <c r="F11" t="str">
        <f t="shared" si="0"/>
        <v>Kapoor</v>
      </c>
      <c r="G11" t="str">
        <f t="shared" si="1"/>
        <v>KAVYA</v>
      </c>
      <c r="H11" t="str">
        <f t="shared" si="2"/>
        <v>kapoor</v>
      </c>
      <c r="I11" t="str">
        <f t="shared" si="3"/>
        <v>Kapoor</v>
      </c>
      <c r="J11">
        <f t="shared" si="4"/>
        <v>17</v>
      </c>
      <c r="K11" t="str">
        <f t="shared" si="5"/>
        <v>8309</v>
      </c>
      <c r="L11" t="str">
        <f t="shared" si="6"/>
        <v>109</v>
      </c>
      <c r="M11" t="str">
        <f t="shared" si="7"/>
        <v>Ma</v>
      </c>
      <c r="N11" t="str">
        <f t="shared" si="8"/>
        <v>Kavya Kapoor</v>
      </c>
      <c r="O11" t="str">
        <f t="shared" si="9"/>
        <v>Mon,Aug 1995</v>
      </c>
      <c r="R11" s="7"/>
    </row>
    <row r="12" spans="1:19">
      <c r="A12" t="s">
        <v>189</v>
      </c>
      <c r="B12" s="13" t="s">
        <v>66</v>
      </c>
      <c r="C12" s="13" t="s">
        <v>234</v>
      </c>
      <c r="D12" s="13" t="s">
        <v>284</v>
      </c>
      <c r="E12" s="14">
        <v>34933</v>
      </c>
      <c r="F12" t="str">
        <f t="shared" si="0"/>
        <v>Choudhary</v>
      </c>
      <c r="G12" t="str">
        <f t="shared" si="1"/>
        <v>ARJUN</v>
      </c>
      <c r="H12" t="str">
        <f t="shared" si="2"/>
        <v>choudhary</v>
      </c>
      <c r="I12" t="str">
        <f t="shared" si="3"/>
        <v>Choudhary</v>
      </c>
      <c r="J12">
        <f t="shared" si="4"/>
        <v>15</v>
      </c>
      <c r="K12" t="str">
        <f t="shared" si="5"/>
        <v>1247</v>
      </c>
      <c r="L12" t="str">
        <f t="shared" si="6"/>
        <v>110</v>
      </c>
      <c r="M12" t="str">
        <f t="shared" si="7"/>
        <v>Fi</v>
      </c>
      <c r="N12" t="str">
        <f t="shared" si="8"/>
        <v>Arjun Choudhary</v>
      </c>
      <c r="O12" t="str">
        <f t="shared" si="9"/>
        <v>Tue,Aug 1995</v>
      </c>
      <c r="R12" s="7"/>
    </row>
    <row r="13" spans="1:19">
      <c r="A13" t="s">
        <v>190</v>
      </c>
      <c r="B13" s="13" t="s">
        <v>235</v>
      </c>
      <c r="C13" s="13" t="s">
        <v>236</v>
      </c>
      <c r="D13" s="13" t="s">
        <v>285</v>
      </c>
      <c r="E13" s="14">
        <v>34934</v>
      </c>
      <c r="F13" t="str">
        <f t="shared" si="0"/>
        <v>Das</v>
      </c>
      <c r="G13" t="str">
        <f t="shared" si="1"/>
        <v>SNEHA</v>
      </c>
      <c r="H13" t="str">
        <f t="shared" si="2"/>
        <v>das</v>
      </c>
      <c r="I13" t="str">
        <f t="shared" si="3"/>
        <v>Das</v>
      </c>
      <c r="J13">
        <f t="shared" si="4"/>
        <v>10</v>
      </c>
      <c r="K13" t="str">
        <f t="shared" si="5"/>
        <v>4392</v>
      </c>
      <c r="L13" t="str">
        <f t="shared" si="6"/>
        <v>111</v>
      </c>
      <c r="M13" t="str">
        <f t="shared" si="7"/>
        <v>HR</v>
      </c>
      <c r="N13" t="str">
        <f t="shared" si="8"/>
        <v>Sneha Das</v>
      </c>
      <c r="O13" t="str">
        <f t="shared" si="9"/>
        <v>Wed,Aug 1995</v>
      </c>
      <c r="R13" s="7"/>
    </row>
    <row r="14" spans="1:19">
      <c r="A14" t="s">
        <v>191</v>
      </c>
      <c r="B14" s="13" t="s">
        <v>237</v>
      </c>
      <c r="C14" s="13" t="s">
        <v>238</v>
      </c>
      <c r="D14" s="13" t="s">
        <v>286</v>
      </c>
      <c r="E14" s="14">
        <v>34935</v>
      </c>
      <c r="F14" t="str">
        <f t="shared" si="0"/>
        <v>Kulkarni</v>
      </c>
      <c r="G14" t="str">
        <f t="shared" si="1"/>
        <v>VIVEK</v>
      </c>
      <c r="H14" t="str">
        <f t="shared" si="2"/>
        <v>kulkarni</v>
      </c>
      <c r="I14" t="str">
        <f t="shared" si="3"/>
        <v>Kulkarni</v>
      </c>
      <c r="J14">
        <f t="shared" si="4"/>
        <v>10</v>
      </c>
      <c r="K14" t="str">
        <f t="shared" si="5"/>
        <v>6172</v>
      </c>
      <c r="L14" t="str">
        <f t="shared" si="6"/>
        <v>112</v>
      </c>
      <c r="M14" t="str">
        <f t="shared" si="7"/>
        <v>HR</v>
      </c>
      <c r="N14" t="str">
        <f t="shared" si="8"/>
        <v>Vivek Kulkarni</v>
      </c>
      <c r="O14" t="str">
        <f t="shared" si="9"/>
        <v>Thu,Aug 1995</v>
      </c>
      <c r="R14" s="7"/>
    </row>
    <row r="15" spans="1:19">
      <c r="A15" t="s">
        <v>192</v>
      </c>
      <c r="B15" s="13" t="s">
        <v>114</v>
      </c>
      <c r="C15" s="13" t="s">
        <v>239</v>
      </c>
      <c r="D15" s="13" t="s">
        <v>287</v>
      </c>
      <c r="E15" s="14">
        <v>34936</v>
      </c>
      <c r="F15" t="str">
        <f t="shared" si="0"/>
        <v>Patil</v>
      </c>
      <c r="G15" t="str">
        <f t="shared" si="1"/>
        <v>POOJA</v>
      </c>
      <c r="H15" t="str">
        <f t="shared" si="2"/>
        <v>patil</v>
      </c>
      <c r="I15" t="str">
        <f t="shared" si="3"/>
        <v>Patil</v>
      </c>
      <c r="J15">
        <f t="shared" si="4"/>
        <v>15</v>
      </c>
      <c r="K15" t="str">
        <f t="shared" si="5"/>
        <v>8033</v>
      </c>
      <c r="L15" t="str">
        <f t="shared" si="6"/>
        <v>113</v>
      </c>
      <c r="M15" t="str">
        <f t="shared" si="7"/>
        <v>Fi</v>
      </c>
      <c r="N15" t="str">
        <f t="shared" si="8"/>
        <v>Pooja Patil</v>
      </c>
      <c r="O15" t="str">
        <f t="shared" si="9"/>
        <v>Fri,Aug 1995</v>
      </c>
      <c r="R15" s="7"/>
    </row>
    <row r="16" spans="1:19">
      <c r="A16" t="s">
        <v>193</v>
      </c>
      <c r="B16" s="13" t="s">
        <v>126</v>
      </c>
      <c r="C16" s="13" t="s">
        <v>240</v>
      </c>
      <c r="D16" s="13" t="s">
        <v>288</v>
      </c>
      <c r="E16" s="14">
        <v>34937</v>
      </c>
      <c r="F16" t="str">
        <f t="shared" si="0"/>
        <v>Bansal</v>
      </c>
      <c r="G16" t="str">
        <f t="shared" si="1"/>
        <v>MANISH</v>
      </c>
      <c r="H16" t="str">
        <f t="shared" si="2"/>
        <v>bansal</v>
      </c>
      <c r="I16" t="str">
        <f t="shared" si="3"/>
        <v>Bansal</v>
      </c>
      <c r="J16">
        <f t="shared" si="4"/>
        <v>10</v>
      </c>
      <c r="K16" t="str">
        <f t="shared" si="5"/>
        <v>5902</v>
      </c>
      <c r="L16" t="str">
        <f t="shared" si="6"/>
        <v>114</v>
      </c>
      <c r="M16" t="str">
        <f t="shared" si="7"/>
        <v>HR</v>
      </c>
      <c r="N16" t="str">
        <f t="shared" si="8"/>
        <v>Manish Bansal</v>
      </c>
      <c r="O16" t="str">
        <f t="shared" si="9"/>
        <v>Sat,Aug 1995</v>
      </c>
      <c r="R16" s="7"/>
    </row>
    <row r="17" spans="1:18">
      <c r="A17" t="s">
        <v>194</v>
      </c>
      <c r="B17" s="13" t="s">
        <v>241</v>
      </c>
      <c r="C17" s="13" t="s">
        <v>242</v>
      </c>
      <c r="D17" s="13" t="s">
        <v>289</v>
      </c>
      <c r="E17" s="14">
        <v>34938</v>
      </c>
      <c r="F17" t="str">
        <f t="shared" si="0"/>
        <v>Malhotra</v>
      </c>
      <c r="G17" t="str">
        <f t="shared" si="1"/>
        <v>ADITI</v>
      </c>
      <c r="H17" t="str">
        <f t="shared" si="2"/>
        <v>malhotra</v>
      </c>
      <c r="I17" t="str">
        <f t="shared" si="3"/>
        <v>Malhotra</v>
      </c>
      <c r="J17">
        <f t="shared" si="4"/>
        <v>10</v>
      </c>
      <c r="K17" t="str">
        <f t="shared" si="5"/>
        <v>7755</v>
      </c>
      <c r="L17" t="str">
        <f t="shared" si="6"/>
        <v>115</v>
      </c>
      <c r="M17" t="str">
        <f t="shared" si="7"/>
        <v>IT</v>
      </c>
      <c r="N17" t="str">
        <f t="shared" si="8"/>
        <v>Aditi Malhotra</v>
      </c>
      <c r="O17" t="str">
        <f t="shared" si="9"/>
        <v>Sun,Aug 1995</v>
      </c>
      <c r="R17" s="7"/>
    </row>
    <row r="18" spans="1:18">
      <c r="A18" t="s">
        <v>195</v>
      </c>
      <c r="B18" s="13" t="s">
        <v>243</v>
      </c>
      <c r="C18" s="13" t="s">
        <v>244</v>
      </c>
      <c r="D18" s="13" t="s">
        <v>290</v>
      </c>
      <c r="E18" s="14">
        <v>34939</v>
      </c>
      <c r="F18" t="str">
        <f t="shared" si="0"/>
        <v>Jha</v>
      </c>
      <c r="G18" t="str">
        <f t="shared" si="1"/>
        <v>ROHAN</v>
      </c>
      <c r="H18" t="str">
        <f t="shared" si="2"/>
        <v>jha</v>
      </c>
      <c r="I18" t="str">
        <f t="shared" si="3"/>
        <v>Jha</v>
      </c>
      <c r="J18">
        <f t="shared" si="4"/>
        <v>15</v>
      </c>
      <c r="K18" t="str">
        <f t="shared" si="5"/>
        <v>2345</v>
      </c>
      <c r="L18" t="str">
        <f t="shared" si="6"/>
        <v>116</v>
      </c>
      <c r="M18" t="str">
        <f t="shared" si="7"/>
        <v>Fi</v>
      </c>
      <c r="N18" t="str">
        <f t="shared" si="8"/>
        <v>Rohan Jha</v>
      </c>
      <c r="O18" t="str">
        <f t="shared" si="9"/>
        <v>Mon,Aug 1995</v>
      </c>
      <c r="R18" s="7"/>
    </row>
    <row r="19" spans="1:18">
      <c r="A19" t="s">
        <v>196</v>
      </c>
      <c r="B19" s="13" t="s">
        <v>245</v>
      </c>
      <c r="C19" s="13" t="s">
        <v>246</v>
      </c>
      <c r="D19" s="13" t="s">
        <v>291</v>
      </c>
      <c r="E19" s="14">
        <v>34940</v>
      </c>
      <c r="F19" t="str">
        <f t="shared" si="0"/>
        <v>Mishra</v>
      </c>
      <c r="G19" t="str">
        <f t="shared" si="1"/>
        <v>SWATI</v>
      </c>
      <c r="H19" t="str">
        <f t="shared" si="2"/>
        <v>mishra</v>
      </c>
      <c r="I19" t="str">
        <f t="shared" si="3"/>
        <v>Mishra</v>
      </c>
      <c r="J19">
        <f t="shared" si="4"/>
        <v>13</v>
      </c>
      <c r="K19" t="str">
        <f t="shared" si="5"/>
        <v>8831</v>
      </c>
      <c r="L19" t="str">
        <f t="shared" si="6"/>
        <v>117</v>
      </c>
      <c r="M19" t="str">
        <f t="shared" si="7"/>
        <v>Sa</v>
      </c>
      <c r="N19" t="str">
        <f t="shared" si="8"/>
        <v>Swati Mishra</v>
      </c>
      <c r="O19" t="str">
        <f t="shared" si="9"/>
        <v>Tue,Aug 1995</v>
      </c>
      <c r="R19" s="7"/>
    </row>
    <row r="20" spans="1:18">
      <c r="A20" t="s">
        <v>197</v>
      </c>
      <c r="B20" s="13" t="s">
        <v>247</v>
      </c>
      <c r="C20" s="13" t="s">
        <v>268</v>
      </c>
      <c r="D20" s="13" t="s">
        <v>292</v>
      </c>
      <c r="E20" s="14">
        <v>34941</v>
      </c>
      <c r="F20" t="str">
        <f t="shared" si="0"/>
        <v>Reddy</v>
      </c>
      <c r="G20" t="str">
        <f t="shared" si="1"/>
        <v>NIKHIL</v>
      </c>
      <c r="H20" t="str">
        <f t="shared" si="2"/>
        <v>reddy</v>
      </c>
      <c r="I20" t="str">
        <f t="shared" si="3"/>
        <v>Reddy</v>
      </c>
      <c r="J20">
        <f t="shared" si="4"/>
        <v>10</v>
      </c>
      <c r="K20" t="str">
        <f t="shared" si="5"/>
        <v>7200</v>
      </c>
      <c r="L20" t="str">
        <f t="shared" si="6"/>
        <v>118</v>
      </c>
      <c r="M20" t="str">
        <f t="shared" si="7"/>
        <v>HR</v>
      </c>
      <c r="N20" t="str">
        <f t="shared" si="8"/>
        <v>Nikhil Reddy</v>
      </c>
      <c r="O20" t="str">
        <f t="shared" si="9"/>
        <v>Wed,Aug 1995</v>
      </c>
      <c r="R20" s="7"/>
    </row>
    <row r="21" spans="1:18">
      <c r="A21" t="s">
        <v>198</v>
      </c>
      <c r="B21" s="13" t="s">
        <v>248</v>
      </c>
      <c r="C21" s="13" t="s">
        <v>249</v>
      </c>
      <c r="D21" s="13" t="s">
        <v>293</v>
      </c>
      <c r="E21" s="14">
        <v>34942</v>
      </c>
      <c r="F21" t="str">
        <f t="shared" si="0"/>
        <v>Saxena</v>
      </c>
      <c r="G21" t="str">
        <f t="shared" si="1"/>
        <v>TANYA</v>
      </c>
      <c r="H21" t="str">
        <f t="shared" si="2"/>
        <v>saxena</v>
      </c>
      <c r="I21" t="str">
        <f t="shared" si="3"/>
        <v>Saxena</v>
      </c>
      <c r="J21">
        <f t="shared" si="4"/>
        <v>17</v>
      </c>
      <c r="K21" t="str">
        <f t="shared" si="5"/>
        <v>4521</v>
      </c>
      <c r="L21" t="str">
        <f t="shared" si="6"/>
        <v>119</v>
      </c>
      <c r="M21" t="str">
        <f t="shared" si="7"/>
        <v>Ma</v>
      </c>
      <c r="N21" t="str">
        <f t="shared" si="8"/>
        <v>Tanya Saxena</v>
      </c>
      <c r="O21" t="str">
        <f t="shared" si="9"/>
        <v>Thu,Aug 1995</v>
      </c>
      <c r="R21" s="7"/>
    </row>
    <row r="22" spans="1:18">
      <c r="A22" t="s">
        <v>199</v>
      </c>
      <c r="B22" s="13" t="s">
        <v>102</v>
      </c>
      <c r="C22" s="13" t="s">
        <v>269</v>
      </c>
      <c r="D22" s="13" t="s">
        <v>294</v>
      </c>
      <c r="E22" s="14">
        <v>34943</v>
      </c>
      <c r="F22" t="str">
        <f t="shared" si="0"/>
        <v>Du bey</v>
      </c>
      <c r="G22" t="str">
        <f t="shared" si="1"/>
        <v>DEEPAK</v>
      </c>
      <c r="H22" t="str">
        <f t="shared" si="2"/>
        <v>du bey</v>
      </c>
      <c r="I22" t="str">
        <f t="shared" si="3"/>
        <v>Du Bey</v>
      </c>
      <c r="J22">
        <f t="shared" si="4"/>
        <v>10</v>
      </c>
      <c r="K22" t="str">
        <f t="shared" si="5"/>
        <v>3344</v>
      </c>
      <c r="L22" t="str">
        <f t="shared" si="6"/>
        <v>120</v>
      </c>
      <c r="M22" t="str">
        <f t="shared" si="7"/>
        <v>HR</v>
      </c>
      <c r="N22" t="str">
        <f t="shared" si="8"/>
        <v>Deepak Du bey</v>
      </c>
      <c r="O22" t="str">
        <f t="shared" si="9"/>
        <v>Fri,Sep 1995</v>
      </c>
      <c r="R22" s="7"/>
    </row>
    <row r="23" spans="1:18">
      <c r="A23" t="s">
        <v>200</v>
      </c>
      <c r="B23" s="13" t="s">
        <v>72</v>
      </c>
      <c r="C23" s="13" t="s">
        <v>250</v>
      </c>
      <c r="D23" s="13" t="s">
        <v>295</v>
      </c>
      <c r="E23" s="14">
        <v>34944</v>
      </c>
      <c r="F23" t="str">
        <f t="shared" si="0"/>
        <v>Ghosh</v>
      </c>
      <c r="G23" t="str">
        <f t="shared" si="1"/>
        <v>MEERA</v>
      </c>
      <c r="H23" t="str">
        <f t="shared" si="2"/>
        <v>ghosh</v>
      </c>
      <c r="I23" t="str">
        <f t="shared" si="3"/>
        <v>Ghosh</v>
      </c>
      <c r="J23">
        <f t="shared" si="4"/>
        <v>15</v>
      </c>
      <c r="K23" t="str">
        <f t="shared" si="5"/>
        <v>6189</v>
      </c>
      <c r="L23" t="str">
        <f t="shared" si="6"/>
        <v>121</v>
      </c>
      <c r="M23" t="str">
        <f t="shared" si="7"/>
        <v>Fi</v>
      </c>
      <c r="N23" t="str">
        <f t="shared" si="8"/>
        <v>Meera Ghosh</v>
      </c>
      <c r="O23" t="str">
        <f t="shared" si="9"/>
        <v>Sat,Sep 1995</v>
      </c>
      <c r="R23" s="7"/>
    </row>
    <row r="24" spans="1:18">
      <c r="A24" t="s">
        <v>201</v>
      </c>
      <c r="B24" s="13" t="s">
        <v>251</v>
      </c>
      <c r="C24" s="13" t="s">
        <v>252</v>
      </c>
      <c r="D24" s="13" t="s">
        <v>296</v>
      </c>
      <c r="E24" s="14">
        <v>34945</v>
      </c>
      <c r="F24" t="str">
        <f t="shared" si="0"/>
        <v>Bhatt</v>
      </c>
      <c r="G24" t="str">
        <f t="shared" si="1"/>
        <v>ABHISHEK</v>
      </c>
      <c r="H24" t="str">
        <f t="shared" si="2"/>
        <v>bhatt</v>
      </c>
      <c r="I24" t="str">
        <f t="shared" si="3"/>
        <v>Bhatt</v>
      </c>
      <c r="J24">
        <f t="shared" si="4"/>
        <v>10</v>
      </c>
      <c r="K24" t="str">
        <f t="shared" si="5"/>
        <v>9400</v>
      </c>
      <c r="L24" t="str">
        <f t="shared" si="6"/>
        <v>122</v>
      </c>
      <c r="M24" t="str">
        <f t="shared" si="7"/>
        <v>IT</v>
      </c>
      <c r="N24" t="str">
        <f t="shared" si="8"/>
        <v>Abhishek Bhatt</v>
      </c>
      <c r="O24" t="str">
        <f t="shared" si="9"/>
        <v>Sun,Sep 1995</v>
      </c>
      <c r="R24" s="7"/>
    </row>
    <row r="25" spans="1:18">
      <c r="A25" t="s">
        <v>202</v>
      </c>
      <c r="B25" s="13" t="s">
        <v>253</v>
      </c>
      <c r="C25" s="13" t="s">
        <v>254</v>
      </c>
      <c r="D25" s="13" t="s">
        <v>297</v>
      </c>
      <c r="E25" s="14">
        <v>34946</v>
      </c>
      <c r="F25" t="str">
        <f t="shared" si="0"/>
        <v>Tiwari</v>
      </c>
      <c r="G25" t="str">
        <f t="shared" si="1"/>
        <v>ISHITA</v>
      </c>
      <c r="H25" t="str">
        <f t="shared" si="2"/>
        <v>tiwari</v>
      </c>
      <c r="I25" t="str">
        <f t="shared" si="3"/>
        <v>Tiwari</v>
      </c>
      <c r="J25">
        <f t="shared" si="4"/>
        <v>13</v>
      </c>
      <c r="K25" t="str">
        <f t="shared" si="5"/>
        <v>7155</v>
      </c>
      <c r="L25" t="str">
        <f t="shared" si="6"/>
        <v>123</v>
      </c>
      <c r="M25" t="str">
        <f t="shared" si="7"/>
        <v>Sa</v>
      </c>
      <c r="N25" t="str">
        <f t="shared" si="8"/>
        <v>Ishita Tiwari</v>
      </c>
      <c r="O25" t="str">
        <f t="shared" si="9"/>
        <v>Mon,Sep 1995</v>
      </c>
      <c r="R25" s="7"/>
    </row>
    <row r="26" spans="1:18">
      <c r="A26" t="s">
        <v>203</v>
      </c>
      <c r="B26" s="13" t="s">
        <v>255</v>
      </c>
      <c r="C26" s="13" t="s">
        <v>256</v>
      </c>
      <c r="D26" s="13" t="s">
        <v>298</v>
      </c>
      <c r="E26" s="14">
        <v>34947</v>
      </c>
      <c r="F26" t="str">
        <f t="shared" si="0"/>
        <v>Chauhan</v>
      </c>
      <c r="G26" t="str">
        <f t="shared" si="1"/>
        <v>RAJESH</v>
      </c>
      <c r="H26" t="str">
        <f t="shared" si="2"/>
        <v>chauhan</v>
      </c>
      <c r="I26" t="str">
        <f t="shared" si="3"/>
        <v>Chauhan</v>
      </c>
      <c r="J26">
        <f t="shared" si="4"/>
        <v>15</v>
      </c>
      <c r="K26" t="str">
        <f t="shared" si="5"/>
        <v>8064</v>
      </c>
      <c r="L26" t="str">
        <f t="shared" si="6"/>
        <v>124</v>
      </c>
      <c r="M26" t="str">
        <f t="shared" si="7"/>
        <v>Fi</v>
      </c>
      <c r="N26" t="str">
        <f t="shared" si="8"/>
        <v>Rajesh Chauhan</v>
      </c>
      <c r="O26" t="str">
        <f t="shared" si="9"/>
        <v>Tue,Sep 1995</v>
      </c>
      <c r="R26" s="7"/>
    </row>
    <row r="27" spans="1:18">
      <c r="A27" t="s">
        <v>204</v>
      </c>
      <c r="B27" s="13" t="s">
        <v>257</v>
      </c>
      <c r="C27" s="13" t="s">
        <v>258</v>
      </c>
      <c r="D27" s="13" t="s">
        <v>299</v>
      </c>
      <c r="E27" s="14">
        <v>34948</v>
      </c>
      <c r="F27" t="str">
        <f t="shared" si="0"/>
        <v>Trivedi</v>
      </c>
      <c r="G27" t="str">
        <f t="shared" si="1"/>
        <v>SAKSHI</v>
      </c>
      <c r="H27" t="str">
        <f t="shared" si="2"/>
        <v>trivedi</v>
      </c>
      <c r="I27" t="str">
        <f t="shared" si="3"/>
        <v>Trivedi</v>
      </c>
      <c r="J27">
        <f t="shared" si="4"/>
        <v>13</v>
      </c>
      <c r="K27" t="str">
        <f t="shared" si="5"/>
        <v>2509</v>
      </c>
      <c r="L27" t="str">
        <f t="shared" si="6"/>
        <v>125</v>
      </c>
      <c r="M27" t="str">
        <f t="shared" si="7"/>
        <v>Sa</v>
      </c>
      <c r="N27" t="str">
        <f t="shared" si="8"/>
        <v>Sakshi Trivedi</v>
      </c>
      <c r="O27" t="str">
        <f t="shared" si="9"/>
        <v>Wed,Sep 1995</v>
      </c>
      <c r="R27" s="7"/>
    </row>
    <row r="28" spans="1:18">
      <c r="A28" t="s">
        <v>205</v>
      </c>
      <c r="B28" s="13" t="s">
        <v>142</v>
      </c>
      <c r="C28" s="13" t="s">
        <v>259</v>
      </c>
      <c r="D28" s="13" t="s">
        <v>300</v>
      </c>
      <c r="E28" s="14">
        <v>34949</v>
      </c>
      <c r="F28" t="str">
        <f t="shared" si="0"/>
        <v>Jain</v>
      </c>
      <c r="G28" t="str">
        <f t="shared" si="1"/>
        <v>VARUN</v>
      </c>
      <c r="H28" t="str">
        <f t="shared" si="2"/>
        <v>jain</v>
      </c>
      <c r="I28" t="str">
        <f t="shared" si="3"/>
        <v>Jain</v>
      </c>
      <c r="J28">
        <f t="shared" si="4"/>
        <v>10</v>
      </c>
      <c r="K28" t="str">
        <f t="shared" si="5"/>
        <v>6631</v>
      </c>
      <c r="L28" t="str">
        <f t="shared" si="6"/>
        <v>126</v>
      </c>
      <c r="M28" t="str">
        <f t="shared" si="7"/>
        <v>IT</v>
      </c>
      <c r="N28" t="str">
        <f t="shared" si="8"/>
        <v>Varun Jain</v>
      </c>
      <c r="O28" t="str">
        <f t="shared" si="9"/>
        <v>Thu,Sep 1995</v>
      </c>
      <c r="R28" s="7"/>
    </row>
    <row r="29" spans="1:18" ht="30">
      <c r="A29" t="s">
        <v>206</v>
      </c>
      <c r="B29" s="13" t="s">
        <v>260</v>
      </c>
      <c r="C29" s="13" t="s">
        <v>270</v>
      </c>
      <c r="D29" s="13" t="s">
        <v>301</v>
      </c>
      <c r="E29" s="14">
        <v>34950</v>
      </c>
      <c r="F29" t="str">
        <f t="shared" si="0"/>
        <v>Desh mukh</v>
      </c>
      <c r="G29" t="str">
        <f t="shared" si="1"/>
        <v>KOMAL</v>
      </c>
      <c r="H29" t="str">
        <f t="shared" si="2"/>
        <v>desh mukh</v>
      </c>
      <c r="I29" t="str">
        <f t="shared" si="3"/>
        <v>Desh Mukh</v>
      </c>
      <c r="J29">
        <f t="shared" si="4"/>
        <v>10</v>
      </c>
      <c r="K29" t="str">
        <f t="shared" si="5"/>
        <v>4890</v>
      </c>
      <c r="L29" t="str">
        <f t="shared" si="6"/>
        <v>127</v>
      </c>
      <c r="M29" t="str">
        <f t="shared" si="7"/>
        <v>IT</v>
      </c>
      <c r="N29" t="str">
        <f t="shared" si="8"/>
        <v>Komal Desh mukh</v>
      </c>
      <c r="O29" t="str">
        <f t="shared" si="9"/>
        <v>Fri,Sep 1995</v>
      </c>
      <c r="R29" s="7"/>
    </row>
    <row r="30" spans="1:18">
      <c r="A30" t="s">
        <v>207</v>
      </c>
      <c r="B30" s="13" t="s">
        <v>261</v>
      </c>
      <c r="C30" s="13" t="s">
        <v>262</v>
      </c>
      <c r="D30" s="13" t="s">
        <v>302</v>
      </c>
      <c r="E30" s="14">
        <v>34951</v>
      </c>
      <c r="F30" t="str">
        <f t="shared" si="0"/>
        <v>Agarwal</v>
      </c>
      <c r="G30" t="str">
        <f t="shared" si="1"/>
        <v>HARSH</v>
      </c>
      <c r="H30" t="str">
        <f t="shared" si="2"/>
        <v>agarwal</v>
      </c>
      <c r="I30" t="str">
        <f t="shared" si="3"/>
        <v>Agarwal</v>
      </c>
      <c r="J30">
        <f t="shared" si="4"/>
        <v>10</v>
      </c>
      <c r="K30" t="str">
        <f t="shared" si="5"/>
        <v>9102</v>
      </c>
      <c r="L30" t="str">
        <f t="shared" si="6"/>
        <v>128</v>
      </c>
      <c r="M30" t="str">
        <f t="shared" si="7"/>
        <v>IT</v>
      </c>
      <c r="N30" t="str">
        <f t="shared" si="8"/>
        <v>Harsh Agarwal</v>
      </c>
      <c r="O30" t="str">
        <f t="shared" si="9"/>
        <v>Sat,Sep 1995</v>
      </c>
      <c r="R30" s="7"/>
    </row>
    <row r="31" spans="1:18">
      <c r="A31" t="s">
        <v>208</v>
      </c>
      <c r="B31" s="13" t="s">
        <v>263</v>
      </c>
      <c r="C31" s="13" t="s">
        <v>271</v>
      </c>
      <c r="D31" s="13" t="s">
        <v>303</v>
      </c>
      <c r="E31" s="14">
        <v>34952</v>
      </c>
      <c r="F31" t="str">
        <f t="shared" si="0"/>
        <v>Basu</v>
      </c>
      <c r="G31" t="str">
        <f t="shared" si="1"/>
        <v>SHREYA</v>
      </c>
      <c r="H31" t="str">
        <f t="shared" si="2"/>
        <v>basu</v>
      </c>
      <c r="I31" t="str">
        <f t="shared" si="3"/>
        <v>Basu</v>
      </c>
      <c r="J31">
        <f t="shared" si="4"/>
        <v>10</v>
      </c>
      <c r="K31" t="str">
        <f t="shared" si="5"/>
        <v>5723</v>
      </c>
      <c r="L31" t="str">
        <f t="shared" si="6"/>
        <v>129</v>
      </c>
      <c r="M31" t="str">
        <f t="shared" si="7"/>
        <v>IT</v>
      </c>
      <c r="N31" t="str">
        <f t="shared" si="8"/>
        <v>Shreya Basu</v>
      </c>
      <c r="O31" t="str">
        <f t="shared" si="9"/>
        <v>Sun,Sep 1995</v>
      </c>
      <c r="R3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3156-C83B-4396-93AD-03144F26442B}">
  <dimension ref="A1:S31"/>
  <sheetViews>
    <sheetView workbookViewId="0">
      <selection activeCell="M2" sqref="M2"/>
    </sheetView>
  </sheetViews>
  <sheetFormatPr defaultRowHeight="15"/>
  <cols>
    <col min="1" max="1" width="19.7109375" customWidth="1"/>
    <col min="2" max="2" width="9.7109375" bestFit="1" customWidth="1"/>
    <col min="3" max="3" width="11.28515625" bestFit="1" customWidth="1"/>
    <col min="4" max="4" width="11" bestFit="1" customWidth="1"/>
    <col min="9" max="9" width="14.7109375" bestFit="1" customWidth="1"/>
    <col min="10" max="10" width="16.42578125" customWidth="1"/>
    <col min="11" max="11" width="16" customWidth="1"/>
    <col min="12" max="12" width="10.140625" bestFit="1" customWidth="1"/>
    <col min="13" max="13" width="15.42578125" bestFit="1" customWidth="1"/>
    <col min="14" max="14" width="9.140625" style="11"/>
  </cols>
  <sheetData>
    <row r="1" spans="1:19">
      <c r="A1" s="9" t="s">
        <v>37</v>
      </c>
      <c r="B1" s="10" t="s">
        <v>212</v>
      </c>
      <c r="C1" s="10" t="s">
        <v>219</v>
      </c>
      <c r="D1" s="10" t="s">
        <v>220</v>
      </c>
      <c r="E1" s="10" t="s">
        <v>213</v>
      </c>
      <c r="F1" s="10" t="s">
        <v>214</v>
      </c>
      <c r="G1" s="10" t="s">
        <v>215</v>
      </c>
      <c r="H1" s="10" t="s">
        <v>216</v>
      </c>
      <c r="I1" s="10" t="s">
        <v>217</v>
      </c>
      <c r="J1" s="10" t="s">
        <v>218</v>
      </c>
      <c r="K1" s="24" t="s">
        <v>374</v>
      </c>
      <c r="L1" s="24" t="s">
        <v>376</v>
      </c>
      <c r="M1" s="24" t="s">
        <v>377</v>
      </c>
    </row>
    <row r="2" spans="1:19">
      <c r="A2" s="8" t="s">
        <v>43</v>
      </c>
      <c r="B2" s="22">
        <f>DATE(M9,M8,M7)</f>
        <v>45963</v>
      </c>
      <c r="C2" s="22">
        <f>DATE(M9,M8,M7)+5</f>
        <v>45968</v>
      </c>
      <c r="D2" s="22">
        <f>DATE(M9,M8,M7)-5</f>
        <v>45958</v>
      </c>
      <c r="E2" s="16">
        <f>TIME(S9,S10,S11)</f>
        <v>0.53645833333333337</v>
      </c>
      <c r="F2" s="8">
        <f>YEAR(A2)</f>
        <v>2020</v>
      </c>
      <c r="G2" s="8">
        <f>MONTH(A2)</f>
        <v>1</v>
      </c>
      <c r="H2" s="8">
        <f>DAY(A2)</f>
        <v>1</v>
      </c>
      <c r="I2" s="8">
        <f>NETWORKDAYS(D2,C2,2)</f>
        <v>9</v>
      </c>
      <c r="J2" s="23">
        <f ca="1">NOW()</f>
        <v>46124.686947222224</v>
      </c>
      <c r="K2" s="25">
        <f>NETWORKDAYS.INTL(D2,C2,11,2)</f>
        <v>10</v>
      </c>
      <c r="L2" s="11">
        <f ca="1">EDATE(TODAY(),2)</f>
        <v>46185</v>
      </c>
      <c r="M2" s="11">
        <f ca="1">EOMONTH(TODAY(),-1)</f>
        <v>46112</v>
      </c>
    </row>
    <row r="3" spans="1:19">
      <c r="A3" s="22" t="s">
        <v>49</v>
      </c>
      <c r="B3" s="8"/>
      <c r="C3" s="8"/>
      <c r="D3" s="8"/>
      <c r="E3" s="8"/>
      <c r="F3" s="8" t="e">
        <f t="shared" ref="F3:F31" si="0">YEAR(A3)</f>
        <v>#VALUE!</v>
      </c>
      <c r="G3" s="8"/>
      <c r="H3" s="8"/>
      <c r="I3" s="8" t="e">
        <f>NETWORKDAYS(N20,N21)</f>
        <v>#VALUE!</v>
      </c>
      <c r="J3" s="8"/>
      <c r="L3" s="26">
        <v>0.81874999999999998</v>
      </c>
      <c r="M3" s="15"/>
    </row>
    <row r="4" spans="1:19">
      <c r="A4" s="8" t="s">
        <v>54</v>
      </c>
      <c r="B4" s="8"/>
      <c r="C4" s="8"/>
      <c r="D4" s="8"/>
      <c r="E4" s="8"/>
      <c r="F4" s="8" t="e">
        <f t="shared" si="0"/>
        <v>#VALUE!</v>
      </c>
      <c r="G4" s="8"/>
      <c r="H4" s="8"/>
      <c r="I4" s="8"/>
      <c r="J4" s="8"/>
      <c r="L4" s="11">
        <v>46123</v>
      </c>
    </row>
    <row r="5" spans="1:19">
      <c r="A5" s="8" t="s">
        <v>59</v>
      </c>
      <c r="B5" s="8"/>
      <c r="C5" s="8"/>
      <c r="D5" s="8"/>
      <c r="E5" s="8"/>
      <c r="F5" s="8" t="e">
        <f t="shared" si="0"/>
        <v>#VALUE!</v>
      </c>
      <c r="G5" s="8"/>
      <c r="H5" s="8"/>
      <c r="I5" s="8"/>
      <c r="J5" s="8"/>
    </row>
    <row r="6" spans="1:19">
      <c r="A6" s="8" t="s">
        <v>64</v>
      </c>
      <c r="B6" s="8"/>
      <c r="C6" s="8"/>
      <c r="D6" s="8"/>
      <c r="E6" s="8"/>
      <c r="F6" s="8" t="e">
        <f t="shared" si="0"/>
        <v>#VALUE!</v>
      </c>
      <c r="G6" s="8"/>
      <c r="H6" s="8"/>
      <c r="I6" s="8"/>
      <c r="J6" s="8"/>
    </row>
    <row r="7" spans="1:19">
      <c r="A7" s="8" t="s">
        <v>70</v>
      </c>
      <c r="B7" s="8"/>
      <c r="C7" s="8"/>
      <c r="D7" s="8"/>
      <c r="E7" s="8"/>
      <c r="F7" s="8" t="e">
        <f t="shared" si="0"/>
        <v>#VALUE!</v>
      </c>
      <c r="G7" s="8"/>
      <c r="H7" s="8"/>
      <c r="I7" s="8"/>
      <c r="J7" s="8"/>
      <c r="M7">
        <v>2</v>
      </c>
    </row>
    <row r="8" spans="1:19">
      <c r="A8" s="8" t="s">
        <v>74</v>
      </c>
      <c r="B8" s="8"/>
      <c r="C8" s="8"/>
      <c r="D8" s="8"/>
      <c r="E8" s="8"/>
      <c r="F8" s="8" t="e">
        <f t="shared" si="0"/>
        <v>#VALUE!</v>
      </c>
      <c r="H8" s="8"/>
      <c r="I8" s="8"/>
      <c r="J8" s="8"/>
      <c r="M8">
        <v>11</v>
      </c>
    </row>
    <row r="9" spans="1:19">
      <c r="A9" s="8" t="s">
        <v>78</v>
      </c>
      <c r="B9" s="8"/>
      <c r="C9" s="8"/>
      <c r="D9" s="8"/>
      <c r="E9" s="8"/>
      <c r="F9" s="8" t="e">
        <f t="shared" si="0"/>
        <v>#VALUE!</v>
      </c>
      <c r="G9" s="8"/>
      <c r="H9" s="8"/>
      <c r="I9" s="8"/>
      <c r="J9" s="8"/>
      <c r="M9" s="21">
        <v>2025</v>
      </c>
      <c r="S9">
        <v>12</v>
      </c>
    </row>
    <row r="10" spans="1:19">
      <c r="A10" s="8" t="s">
        <v>82</v>
      </c>
      <c r="B10" s="8"/>
      <c r="C10" s="8"/>
      <c r="D10" s="8"/>
      <c r="E10" s="8"/>
      <c r="F10" s="8" t="e">
        <f t="shared" si="0"/>
        <v>#VALUE!</v>
      </c>
      <c r="G10" s="8"/>
      <c r="H10" s="8"/>
      <c r="I10" s="8"/>
      <c r="J10" s="8"/>
      <c r="S10">
        <v>52</v>
      </c>
    </row>
    <row r="11" spans="1:19">
      <c r="A11" s="8" t="s">
        <v>86</v>
      </c>
      <c r="B11" s="8"/>
      <c r="C11" s="8"/>
      <c r="D11" s="8"/>
      <c r="E11" s="8"/>
      <c r="F11" s="8">
        <f t="shared" si="0"/>
        <v>2023</v>
      </c>
      <c r="G11" s="8"/>
      <c r="H11" s="8"/>
      <c r="I11" s="8"/>
      <c r="J11" s="8"/>
      <c r="S11">
        <v>30</v>
      </c>
    </row>
    <row r="12" spans="1:19">
      <c r="A12" s="8" t="s">
        <v>91</v>
      </c>
      <c r="B12" s="8"/>
      <c r="C12" s="8"/>
      <c r="D12" s="8"/>
      <c r="E12" s="8"/>
      <c r="F12" s="8">
        <f t="shared" si="0"/>
        <v>2024</v>
      </c>
      <c r="G12" s="8"/>
      <c r="H12" s="8"/>
      <c r="I12" s="8"/>
      <c r="J12" s="8"/>
    </row>
    <row r="13" spans="1:19">
      <c r="A13" s="8" t="s">
        <v>96</v>
      </c>
      <c r="B13" s="8"/>
      <c r="C13" s="8"/>
      <c r="D13" s="8"/>
      <c r="E13" s="8"/>
      <c r="F13" s="8">
        <f t="shared" si="0"/>
        <v>2024</v>
      </c>
      <c r="G13" s="8"/>
      <c r="H13" s="8"/>
      <c r="I13" s="8"/>
      <c r="J13" s="8"/>
    </row>
    <row r="14" spans="1:19">
      <c r="A14" s="8" t="s">
        <v>100</v>
      </c>
      <c r="B14" s="8"/>
      <c r="C14" s="8"/>
      <c r="D14" s="8"/>
      <c r="E14" s="8"/>
      <c r="F14" s="8">
        <f t="shared" si="0"/>
        <v>2024</v>
      </c>
      <c r="G14" s="8"/>
      <c r="H14" s="8"/>
      <c r="I14" s="8"/>
      <c r="J14" s="8"/>
    </row>
    <row r="15" spans="1:19">
      <c r="A15" s="8" t="s">
        <v>104</v>
      </c>
      <c r="B15" s="8"/>
      <c r="C15" s="8"/>
      <c r="D15" s="8"/>
      <c r="E15" s="8"/>
      <c r="F15" s="8">
        <f t="shared" si="0"/>
        <v>2025</v>
      </c>
      <c r="G15" s="8"/>
      <c r="H15" s="8"/>
      <c r="I15" s="8"/>
      <c r="J15" s="8"/>
    </row>
    <row r="16" spans="1:19">
      <c r="A16" s="8" t="s">
        <v>108</v>
      </c>
      <c r="B16" s="8"/>
      <c r="C16" s="8"/>
      <c r="D16" s="8"/>
      <c r="E16" s="8"/>
      <c r="F16" s="8">
        <f t="shared" si="0"/>
        <v>2025</v>
      </c>
      <c r="G16" s="8"/>
      <c r="H16" s="8"/>
      <c r="I16" s="8"/>
      <c r="J16" s="8"/>
    </row>
    <row r="17" spans="1:14">
      <c r="A17" s="8" t="s">
        <v>112</v>
      </c>
      <c r="B17" s="8"/>
      <c r="C17" s="8"/>
      <c r="D17" s="8"/>
      <c r="E17" s="8"/>
      <c r="F17" s="8" t="e">
        <f t="shared" si="0"/>
        <v>#VALUE!</v>
      </c>
      <c r="G17" s="8"/>
      <c r="H17" s="8"/>
      <c r="I17" s="8"/>
      <c r="J17" s="8"/>
    </row>
    <row r="18" spans="1:14">
      <c r="A18" s="8" t="s">
        <v>116</v>
      </c>
      <c r="B18" s="8"/>
      <c r="C18" s="8"/>
      <c r="D18" s="8"/>
      <c r="E18" s="8"/>
      <c r="F18" s="8" t="e">
        <f t="shared" si="0"/>
        <v>#VALUE!</v>
      </c>
      <c r="G18" s="8"/>
      <c r="H18" s="8"/>
      <c r="I18" s="8"/>
      <c r="J18" s="8"/>
    </row>
    <row r="19" spans="1:14">
      <c r="A19" s="8" t="s">
        <v>120</v>
      </c>
      <c r="B19" s="8"/>
      <c r="C19" s="8"/>
      <c r="D19" s="8"/>
      <c r="E19" s="8"/>
      <c r="F19" s="8" t="e">
        <f t="shared" si="0"/>
        <v>#VALUE!</v>
      </c>
      <c r="G19" s="8"/>
      <c r="H19" s="8"/>
      <c r="I19" s="8"/>
      <c r="J19" s="8"/>
    </row>
    <row r="20" spans="1:14">
      <c r="A20" s="8" t="s">
        <v>124</v>
      </c>
      <c r="B20" s="8"/>
      <c r="C20" s="8"/>
      <c r="D20" s="8"/>
      <c r="E20" s="8"/>
      <c r="F20" s="8" t="e">
        <f t="shared" si="0"/>
        <v>#VALUE!</v>
      </c>
      <c r="G20" s="8"/>
      <c r="H20" s="8"/>
      <c r="I20" s="8"/>
      <c r="J20" s="8"/>
      <c r="N20" s="11">
        <v>46026</v>
      </c>
    </row>
    <row r="21" spans="1:14">
      <c r="A21" s="8" t="s">
        <v>128</v>
      </c>
      <c r="B21" s="8"/>
      <c r="C21" s="8"/>
      <c r="D21" s="8"/>
      <c r="E21" s="8"/>
      <c r="F21" s="8" t="e">
        <f t="shared" si="0"/>
        <v>#VALUE!</v>
      </c>
      <c r="G21" s="8"/>
      <c r="H21" s="8"/>
      <c r="I21" s="8"/>
      <c r="J21" s="8"/>
      <c r="N21" s="11" t="s">
        <v>375</v>
      </c>
    </row>
    <row r="22" spans="1:14">
      <c r="A22" s="8" t="s">
        <v>132</v>
      </c>
      <c r="B22" s="8"/>
      <c r="C22" s="8"/>
      <c r="D22" s="8"/>
      <c r="E22" s="8"/>
      <c r="F22" s="8" t="e">
        <f t="shared" si="0"/>
        <v>#VALUE!</v>
      </c>
      <c r="G22" s="8"/>
      <c r="H22" s="8"/>
      <c r="I22" s="8"/>
      <c r="J22" s="8"/>
    </row>
    <row r="23" spans="1:14">
      <c r="A23" s="8" t="s">
        <v>136</v>
      </c>
      <c r="B23" s="8"/>
      <c r="C23" s="8"/>
      <c r="D23" s="8"/>
      <c r="E23" s="8"/>
      <c r="F23" s="8" t="e">
        <f t="shared" si="0"/>
        <v>#VALUE!</v>
      </c>
      <c r="G23" s="8"/>
      <c r="H23" s="8"/>
      <c r="I23" s="8"/>
      <c r="J23" s="8"/>
    </row>
    <row r="24" spans="1:14">
      <c r="A24" s="8" t="s">
        <v>140</v>
      </c>
      <c r="B24" s="8"/>
      <c r="C24" s="8"/>
      <c r="D24" s="8"/>
      <c r="E24" s="8"/>
      <c r="F24" s="8" t="e">
        <f t="shared" si="0"/>
        <v>#VALUE!</v>
      </c>
      <c r="G24" s="8"/>
      <c r="H24" s="8"/>
      <c r="I24" s="8"/>
      <c r="J24" s="8"/>
    </row>
    <row r="25" spans="1:14">
      <c r="A25" s="8" t="s">
        <v>144</v>
      </c>
      <c r="B25" s="8"/>
      <c r="C25" s="8"/>
      <c r="D25" s="8"/>
      <c r="E25" s="8"/>
      <c r="F25" s="8">
        <f t="shared" si="0"/>
        <v>2029</v>
      </c>
      <c r="G25" s="8"/>
      <c r="H25" s="8"/>
      <c r="I25" s="8"/>
      <c r="J25" s="8"/>
    </row>
    <row r="26" spans="1:14">
      <c r="A26" s="8" t="s">
        <v>148</v>
      </c>
      <c r="B26" s="8"/>
      <c r="C26" s="8"/>
      <c r="D26" s="8"/>
      <c r="E26" s="8"/>
      <c r="F26" s="8">
        <f t="shared" si="0"/>
        <v>2029</v>
      </c>
      <c r="G26" s="8"/>
      <c r="H26" s="8"/>
      <c r="I26" s="8"/>
      <c r="J26" s="8"/>
    </row>
    <row r="27" spans="1:14">
      <c r="A27" s="8" t="s">
        <v>152</v>
      </c>
      <c r="B27" s="8"/>
      <c r="C27" s="8"/>
      <c r="D27" s="8"/>
      <c r="E27" s="8"/>
      <c r="F27" s="8">
        <f t="shared" si="0"/>
        <v>2030</v>
      </c>
      <c r="G27" s="8"/>
      <c r="H27" s="8"/>
      <c r="I27" s="8"/>
      <c r="J27" s="8"/>
    </row>
    <row r="28" spans="1:14">
      <c r="A28" s="8" t="s">
        <v>156</v>
      </c>
      <c r="B28" s="8"/>
      <c r="C28" s="8"/>
      <c r="D28" s="8"/>
      <c r="E28" s="8"/>
      <c r="F28" s="8">
        <f t="shared" si="0"/>
        <v>2030</v>
      </c>
      <c r="G28" s="8"/>
      <c r="H28" s="8"/>
      <c r="I28" s="8"/>
      <c r="J28" s="8"/>
    </row>
    <row r="29" spans="1:14">
      <c r="A29" s="8" t="s">
        <v>160</v>
      </c>
      <c r="B29" s="8"/>
      <c r="C29" s="8"/>
      <c r="D29" s="8"/>
      <c r="E29" s="8"/>
      <c r="F29" s="8">
        <f t="shared" si="0"/>
        <v>2031</v>
      </c>
      <c r="G29" s="8"/>
      <c r="H29" s="8"/>
      <c r="I29" s="8"/>
      <c r="J29" s="8"/>
    </row>
    <row r="30" spans="1:14">
      <c r="A30" s="8" t="s">
        <v>164</v>
      </c>
      <c r="B30" s="8"/>
      <c r="C30" s="8"/>
      <c r="D30" s="8"/>
      <c r="E30" s="8"/>
      <c r="F30" s="8">
        <f t="shared" si="0"/>
        <v>2031</v>
      </c>
      <c r="G30" s="8"/>
      <c r="H30" s="8"/>
      <c r="I30" s="8"/>
      <c r="J30" s="8"/>
    </row>
    <row r="31" spans="1:14">
      <c r="A31" s="8" t="s">
        <v>168</v>
      </c>
      <c r="B31" s="8"/>
      <c r="C31" s="8"/>
      <c r="D31" s="8"/>
      <c r="E31" s="8"/>
      <c r="F31" s="8" t="e">
        <f t="shared" si="0"/>
        <v>#VALUE!</v>
      </c>
      <c r="G31" s="8"/>
      <c r="H31" s="8"/>
      <c r="I31" s="8"/>
      <c r="J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Notes</vt:lpstr>
      <vt:lpstr>Practice Sheet</vt:lpstr>
      <vt:lpstr>Text Functions</vt:lpstr>
      <vt:lpstr>Date &amp;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Thakur</dc:creator>
  <cp:lastModifiedBy>ASDC14</cp:lastModifiedBy>
  <cp:lastPrinted>2025-08-28T04:39:39Z</cp:lastPrinted>
  <dcterms:created xsi:type="dcterms:W3CDTF">2025-08-22T18:39:37Z</dcterms:created>
  <dcterms:modified xsi:type="dcterms:W3CDTF">2026-04-12T10:59:22Z</dcterms:modified>
</cp:coreProperties>
</file>